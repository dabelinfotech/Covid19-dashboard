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eye\Downloads\"/>
    </mc:Choice>
  </mc:AlternateContent>
  <xr:revisionPtr revIDLastSave="0" documentId="13_ncr:1_{600059E3-F890-48F2-8537-03F292258B23}" xr6:coauthVersionLast="47" xr6:coauthVersionMax="47" xr10:uidLastSave="{00000000-0000-0000-0000-000000000000}"/>
  <bookViews>
    <workbookView xWindow="-120" yWindow="-120" windowWidth="25440" windowHeight="15270" firstSheet="5" activeTab="6" xr2:uid="{E6FA1B75-7659-4E76-8292-DDA708841F9D}"/>
  </bookViews>
  <sheets>
    <sheet name="Summary" sheetId="1" r:id="rId1"/>
    <sheet name="By Continent" sheetId="2" r:id="rId2"/>
    <sheet name="Top 10 Countries" sheetId="3" r:id="rId3"/>
    <sheet name="Monthly Trend" sheetId="4" r:id="rId4"/>
    <sheet name="Continent Analysis" sheetId="7" r:id="rId5"/>
    <sheet name="Country Analysis" sheetId="6" r:id="rId6"/>
    <sheet name="Global Death Share" sheetId="8" r:id="rId7"/>
    <sheet name="Country CFR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<sst xmlns="http://schemas.openxmlformats.org/spreadsheetml/2006/main" count="134" uniqueCount="72">
  <si>
    <t>Metric</t>
  </si>
  <si>
    <t>Value</t>
  </si>
  <si>
    <t>Notes</t>
  </si>
  <si>
    <t>Total Confirmed Deaths</t>
  </si>
  <si>
    <t>Global cumulative through Apr 2021</t>
  </si>
  <si>
    <t>Total Confirmed Cases</t>
  </si>
  <si>
    <t>Case Fatality Rate (CFR)</t>
  </si>
  <si>
    <t>Deaths / Confirmed Cases</t>
  </si>
  <si>
    <t>Countries &amp; Territories</t>
  </si>
  <si>
    <t>185+</t>
  </si>
  <si>
    <t>Rows with continent data</t>
  </si>
  <si>
    <t>Dataset Rows</t>
  </si>
  <si>
    <t>One row per country per day</t>
  </si>
  <si>
    <t>Dataset Columns</t>
  </si>
  <si>
    <t>Cases, deaths, vaccinations, demographics</t>
  </si>
  <si>
    <t>Data Period</t>
  </si>
  <si>
    <t>Jan 2020 – Apr 2021</t>
  </si>
  <si>
    <t>15 months of daily data</t>
  </si>
  <si>
    <t>Deadliest Month</t>
  </si>
  <si>
    <t>411,021 new deaths globally</t>
  </si>
  <si>
    <t>Most Affected Continent</t>
  </si>
  <si>
    <t>Europe</t>
  </si>
  <si>
    <t>1,016,750 deaths (32% of global)</t>
  </si>
  <si>
    <t>Leading Country</t>
  </si>
  <si>
    <t>United States</t>
  </si>
  <si>
    <t>576,232 deaths – 18.1% of global</t>
  </si>
  <si>
    <t>Highest CFR Country</t>
  </si>
  <si>
    <t>Mexico</t>
  </si>
  <si>
    <t>9.25% – likely severe case undercounting</t>
  </si>
  <si>
    <t>Lowest CFR (Top 10)</t>
  </si>
  <si>
    <t>India</t>
  </si>
  <si>
    <t>Continent</t>
  </si>
  <si>
    <t>Total Deaths</t>
  </si>
  <si>
    <t>Total Cases</t>
  </si>
  <si>
    <t>Share of Global Deaths %</t>
  </si>
  <si>
    <t>North America</t>
  </si>
  <si>
    <t>South America</t>
  </si>
  <si>
    <t>Asia</t>
  </si>
  <si>
    <t>Africa</t>
  </si>
  <si>
    <t>Oceania</t>
  </si>
  <si>
    <t>Rank</t>
  </si>
  <si>
    <t>Country</t>
  </si>
  <si>
    <t>CFR %</t>
  </si>
  <si>
    <t>Note</t>
  </si>
  <si>
    <t>Brazil</t>
  </si>
  <si>
    <t>Severe case undercounting likely</t>
  </si>
  <si>
    <t>United Kingdom</t>
  </si>
  <si>
    <t>Italy</t>
  </si>
  <si>
    <t>Russia</t>
  </si>
  <si>
    <t>France</t>
  </si>
  <si>
    <t>Germany</t>
  </si>
  <si>
    <t>Spain</t>
  </si>
  <si>
    <t>Month</t>
  </si>
  <si>
    <t>Year</t>
  </si>
  <si>
    <t>New Deaths</t>
  </si>
  <si>
    <t>Cumulative Deaths</t>
  </si>
  <si>
    <t>Wave</t>
  </si>
  <si>
    <t>Pre-wave</t>
  </si>
  <si>
    <t>1st Wave rising</t>
  </si>
  <si>
    <t>1st Wave peak</t>
  </si>
  <si>
    <t>1st Wave declining</t>
  </si>
  <si>
    <t>Inter-wave</t>
  </si>
  <si>
    <t>2nd Wave early</t>
  </si>
  <si>
    <t>2nd Wave rising</t>
  </si>
  <si>
    <t>2nd Wave accelerating</t>
  </si>
  <si>
    <t>2nd Wave peak</t>
  </si>
  <si>
    <t>2nd Wave peak (highest month)</t>
  </si>
  <si>
    <t>2nd Wave declining</t>
  </si>
  <si>
    <t>3rd Wave early</t>
  </si>
  <si>
    <t>3rd Wave rising</t>
  </si>
  <si>
    <t>Share of Global Deaths (%)</t>
  </si>
  <si>
    <t>Case Fatality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</si>
</sst>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3" x14ac:knownFonts="1">
    <font>
      <sz val="11"/>
      <color theme="1"/>
      <name val="Calibri"/>
      <family val="2"/>
      <scheme val="minor"/>
    </font>
    <font>
      <b/>
      <sz val="10"/>
      <color rgb="FFF5E8D8"/>
      <name val="Calibri"/>
      <family val="2"/>
      <scheme val="minor"/>
    </font>
    <font>
      <b/>
      <sz val="11"/>
      <color rgb="FFF5E8D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2014"/>
        <bgColor indexed="64"/>
      </patternFill>
    </fill>
    <fill>
      <patternFill patternType="solid">
        <fgColor rgb="FF442D1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3" fontId="0" fillId="0" borderId="0" xfId="0" applyNumberFormat="1"/>
    <xf numFmtId="10" fontId="0" fillId="0" borderId="0" xfId="0" applyNumberFormat="1"/>
    <xf numFmtId="17" fontId="0" fillId="0" borderId="0" xfId="0" applyNumberFormat="1"/>
    <xf numFmtId="0" fontId="2" fillId="3" borderId="0" xfId="0" applyFont="1" applyFill="1"/>
    <xf numFmtId="0" fontId="0" fillId="3" borderId="0" xfId="0" applyFill="1"/>
    <xf numFmtId="3" fontId="0" fillId="3" borderId="0" xfId="0" applyNumberFormat="1" applyFill="1"/>
    <xf numFmtId="164" fontId="0" fillId="0" borderId="0" xfId="0" applyNumberFormat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FF0000"/>
                </a:solidFill>
              </a:defRPr>
            </a:pPr>
            <a:r>
              <a:rPr lang="en-US">
                <a:solidFill>
                  <a:srgbClr val="FF0000"/>
                </a:solidFill>
              </a:rPr>
              <a:t>Monthly</a:t>
            </a:r>
            <a:r>
              <a:rPr lang="en-US" baseline="0">
                <a:solidFill>
                  <a:srgbClr val="FF0000"/>
                </a:solidFill>
              </a:rPr>
              <a:t>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2060"/>
              </a:solidFill>
            </a:ln>
          </c:spPr>
          <c:cat>
            <c:numRef>
              <c:f>'Monthly Trend'!$A$2:$A$17</c:f>
              <c:numCache>
                <c:formatCode>mmm\-yy</c:formatCode>
                <c:ptCount val="1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</c:numCache>
            </c:numRef>
          </c:cat>
          <c:val>
            <c:numRef>
              <c:f>'Monthly Trend'!$C$2:$C$17</c:f>
              <c:numCache>
                <c:formatCode>General</c:formatCode>
                <c:ptCount val="16"/>
                <c:pt idx="0">
                  <c:v>196</c:v>
                </c:pt>
                <c:pt idx="1">
                  <c:v>2723</c:v>
                </c:pt>
                <c:pt idx="2">
                  <c:v>41581</c:v>
                </c:pt>
                <c:pt idx="3">
                  <c:v>192885</c:v>
                </c:pt>
                <c:pt idx="4">
                  <c:v>137618</c:v>
                </c:pt>
                <c:pt idx="5">
                  <c:v>133145</c:v>
                </c:pt>
                <c:pt idx="6">
                  <c:v>167327</c:v>
                </c:pt>
                <c:pt idx="7">
                  <c:v>175564</c:v>
                </c:pt>
                <c:pt idx="8">
                  <c:v>163905</c:v>
                </c:pt>
                <c:pt idx="9">
                  <c:v>181802</c:v>
                </c:pt>
                <c:pt idx="10">
                  <c:v>274821</c:v>
                </c:pt>
                <c:pt idx="11">
                  <c:v>353343</c:v>
                </c:pt>
                <c:pt idx="12">
                  <c:v>411021</c:v>
                </c:pt>
                <c:pt idx="13">
                  <c:v>297465</c:v>
                </c:pt>
                <c:pt idx="14">
                  <c:v>282654</c:v>
                </c:pt>
                <c:pt idx="15">
                  <c:v>364156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3E-4EF0-AE7E-A850003C5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572432"/>
        <c:axId val="399565232"/>
      </c:lineChart>
      <c:dateAx>
        <c:axId val="3995724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defRPr>
            </a:pPr>
            <a:endParaRPr lang="en-NG"/>
          </a:p>
        </c:txPr>
        <c:crossAx val="399565232"/>
        <c:crosses val="autoZero"/>
        <c:auto val="1"/>
        <c:lblOffset val="100"/>
        <c:baseTimeUnit val="months"/>
      </c:dateAx>
      <c:valAx>
        <c:axId val="399565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defRPr>
            </a:pPr>
            <a:endParaRPr lang="en-NG"/>
          </a:p>
        </c:txPr>
        <c:crossAx val="399572432"/>
        <c:crosses val="autoZero"/>
        <c:crossBetween val="between"/>
      </c:valAx>
      <c:spPr>
        <a:solidFill>
          <a:schemeClr val="bg2"/>
        </a:solidFill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/>
            </a:pPr>
            <a:r>
              <a:rPr lang="en-US"/>
              <a:t>Continent: Total Cases vs Total Deaths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Cases</c:v>
          </c:tx>
          <c:spPr>
            <a:solidFill>
              <a:srgbClr val="2A7FC4"/>
            </a:solidFill>
          </c:spPr>
          <c:invertIfNegative val="0"/>
          <c:cat>
            <c:strRef>
              <c:f>'Continent Analysis'!$A$2:$A$7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'Continent Analysis'!$B$2:$B$7</c:f>
              <c:numCache>
                <c:formatCode>#,##0</c:formatCode>
                <c:ptCount val="6"/>
                <c:pt idx="0">
                  <c:v>4557699</c:v>
                </c:pt>
                <c:pt idx="1">
                  <c:v>39526308</c:v>
                </c:pt>
                <c:pt idx="2">
                  <c:v>44863478</c:v>
                </c:pt>
                <c:pt idx="3">
                  <c:v>37529488</c:v>
                </c:pt>
                <c:pt idx="4">
                  <c:v>43570</c:v>
                </c:pt>
                <c:pt idx="5">
                  <c:v>24878216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69-466F-AE19-1C6D63B8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6251984"/>
        <c:axId val="406254504"/>
      </c:barChart>
      <c:barChart>
        <c:barDir val="col"/>
        <c:grouping val="clustered"/>
        <c:varyColors val="0"/>
        <c:ser>
          <c:idx val="1"/>
          <c:order val="1"/>
          <c:tx>
            <c:v>Total Deaths</c:v>
          </c:tx>
          <c:spPr>
            <a:solidFill>
              <a:srgbClr val="B53028"/>
            </a:solidFill>
          </c:spPr>
          <c:invertIfNegative val="0"/>
          <c:cat>
            <c:strRef>
              <c:f>'Continent Analysis'!$A$2:$A$7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'Continent Analysis'!$C$2:$C$7</c:f>
              <c:numCache>
                <c:formatCode>#,##0</c:formatCode>
                <c:ptCount val="6"/>
                <c:pt idx="0">
                  <c:v>121784</c:v>
                </c:pt>
                <c:pt idx="1">
                  <c:v>520286</c:v>
                </c:pt>
                <c:pt idx="2">
                  <c:v>1016750</c:v>
                </c:pt>
                <c:pt idx="3">
                  <c:v>847942</c:v>
                </c:pt>
                <c:pt idx="4">
                  <c:v>1046</c:v>
                </c:pt>
                <c:pt idx="5">
                  <c:v>672415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69-466F-AE19-1C6D63B8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6246584"/>
        <c:axId val="406255584"/>
      </c:barChart>
      <c:catAx>
        <c:axId val="406251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Continent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6254504"/>
        <c:crosses val="autoZero"/>
        <c:auto val="1"/>
        <c:lblAlgn val="ctr"/>
        <c:lblOffset val="100"/>
        <c:noMultiLvlLbl val="0"/>
      </c:catAx>
      <c:valAx>
        <c:axId val="406254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Cases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406251984"/>
        <c:crosses val="autoZero"/>
        <c:crossBetween val="between"/>
      </c:valAx>
      <c:valAx>
        <c:axId val="40625558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Deaths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406246584"/>
        <c:crosses val="max"/>
        <c:crossBetween val="between"/>
      </c:valAx>
      <c:catAx>
        <c:axId val="406246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6255584"/>
        <c:crosses val="autoZero"/>
        <c:auto val="1"/>
        <c:lblAlgn val="ctr"/>
        <c:lblOffset val="100"/>
        <c:noMultiLvlLbl val="0"/>
      </c:catAx>
      <c:spPr>
        <a:solidFill>
          <a:srgbClr val="22140C"/>
        </a:solidFill>
      </c:spPr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Top 10 Countries: Total Cases vs Total Deaths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Cases</c:v>
          </c:tx>
          <c:spPr>
            <a:solidFill>
              <a:srgbClr val="2A7FC4"/>
            </a:solidFill>
          </c:spPr>
          <c:invertIfNegative val="0"/>
          <c:cat>
            <c:strRef>
              <c:f>'Country Analysis'!$A$2:$A$11</c:f>
              <c:strCache>
                <c:ptCount val="10"/>
                <c:pt idx="0">
                  <c:v>United States</c:v>
                </c:pt>
                <c:pt idx="1">
                  <c:v>Brazil</c:v>
                </c:pt>
                <c:pt idx="2">
                  <c:v>Mexico</c:v>
                </c:pt>
                <c:pt idx="3">
                  <c:v>India</c:v>
                </c:pt>
                <c:pt idx="4">
                  <c:v>United Kingdom</c:v>
                </c:pt>
                <c:pt idx="5">
                  <c:v>Italy</c:v>
                </c:pt>
                <c:pt idx="6">
                  <c:v>Russia</c:v>
                </c:pt>
                <c:pt idx="7">
                  <c:v>France</c:v>
                </c:pt>
                <c:pt idx="8">
                  <c:v>Germany</c:v>
                </c:pt>
                <c:pt idx="9">
                  <c:v>Spain</c:v>
                </c:pt>
              </c:strCache>
            </c:strRef>
          </c:cat>
          <c:val>
            <c:numRef>
              <c:f>'Country Analysis'!$B$2:$B$11</c:f>
              <c:numCache>
                <c:formatCode>#,##0</c:formatCode>
                <c:ptCount val="10"/>
                <c:pt idx="0">
                  <c:v>32346971</c:v>
                </c:pt>
                <c:pt idx="1">
                  <c:v>14659011</c:v>
                </c:pt>
                <c:pt idx="2">
                  <c:v>2344755</c:v>
                </c:pt>
                <c:pt idx="3">
                  <c:v>19164969</c:v>
                </c:pt>
                <c:pt idx="4">
                  <c:v>4432246</c:v>
                </c:pt>
                <c:pt idx="5">
                  <c:v>4022653</c:v>
                </c:pt>
                <c:pt idx="6">
                  <c:v>4750755</c:v>
                </c:pt>
                <c:pt idx="7">
                  <c:v>5677835</c:v>
                </c:pt>
                <c:pt idx="8">
                  <c:v>3405365</c:v>
                </c:pt>
                <c:pt idx="9">
                  <c:v>3524077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8A-46CB-89EC-AC12B3AF2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735832"/>
        <c:axId val="402738712"/>
      </c:barChart>
      <c:barChart>
        <c:barDir val="col"/>
        <c:grouping val="clustered"/>
        <c:varyColors val="0"/>
        <c:ser>
          <c:idx val="1"/>
          <c:order val="1"/>
          <c:tx>
            <c:v>Total Deaths</c:v>
          </c:tx>
          <c:spPr>
            <a:solidFill>
              <a:srgbClr val="B53028"/>
            </a:solidFill>
          </c:spPr>
          <c:invertIfNegative val="0"/>
          <c:cat>
            <c:strRef>
              <c:f>'Country Analysis'!$A$2:$A$11</c:f>
              <c:strCache>
                <c:ptCount val="10"/>
                <c:pt idx="0">
                  <c:v>United States</c:v>
                </c:pt>
                <c:pt idx="1">
                  <c:v>Brazil</c:v>
                </c:pt>
                <c:pt idx="2">
                  <c:v>Mexico</c:v>
                </c:pt>
                <c:pt idx="3">
                  <c:v>India</c:v>
                </c:pt>
                <c:pt idx="4">
                  <c:v>United Kingdom</c:v>
                </c:pt>
                <c:pt idx="5">
                  <c:v>Italy</c:v>
                </c:pt>
                <c:pt idx="6">
                  <c:v>Russia</c:v>
                </c:pt>
                <c:pt idx="7">
                  <c:v>France</c:v>
                </c:pt>
                <c:pt idx="8">
                  <c:v>Germany</c:v>
                </c:pt>
                <c:pt idx="9">
                  <c:v>Spain</c:v>
                </c:pt>
              </c:strCache>
            </c:strRef>
          </c:cat>
          <c:val>
            <c:numRef>
              <c:f>'Country Analysis'!$C$2:$C$11</c:f>
              <c:numCache>
                <c:formatCode>#,##0</c:formatCode>
                <c:ptCount val="10"/>
                <c:pt idx="0">
                  <c:v>576232</c:v>
                </c:pt>
                <c:pt idx="1">
                  <c:v>403781</c:v>
                </c:pt>
                <c:pt idx="2">
                  <c:v>216907</c:v>
                </c:pt>
                <c:pt idx="3">
                  <c:v>211853</c:v>
                </c:pt>
                <c:pt idx="4">
                  <c:v>127775</c:v>
                </c:pt>
                <c:pt idx="5">
                  <c:v>120807</c:v>
                </c:pt>
                <c:pt idx="6">
                  <c:v>108290</c:v>
                </c:pt>
                <c:pt idx="7">
                  <c:v>104675</c:v>
                </c:pt>
                <c:pt idx="8">
                  <c:v>83097</c:v>
                </c:pt>
                <c:pt idx="9">
                  <c:v>78216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8A-46CB-89EC-AC12B3AF2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594168"/>
        <c:axId val="346471768"/>
      </c:barChart>
      <c:catAx>
        <c:axId val="402735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2738712"/>
        <c:crosses val="autoZero"/>
        <c:auto val="1"/>
        <c:lblAlgn val="ctr"/>
        <c:lblOffset val="100"/>
        <c:noMultiLvlLbl val="0"/>
      </c:catAx>
      <c:valAx>
        <c:axId val="4027387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Cases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402735832"/>
        <c:crosses val="autoZero"/>
        <c:crossBetween val="between"/>
      </c:valAx>
      <c:valAx>
        <c:axId val="34647176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Deaths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18594168"/>
        <c:crosses val="max"/>
        <c:crossBetween val="between"/>
      </c:valAx>
      <c:catAx>
        <c:axId val="118594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4647176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Continent Share of Global Deaths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Share of Global Deaths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'Global Death Share'!$A$2:$A$7</c:f>
              <c:strCache>
                <c:ptCount val="6"/>
                <c:pt idx="0">
                  <c:v>Europe</c:v>
                </c:pt>
                <c:pt idx="1">
                  <c:v>North America</c:v>
                </c:pt>
                <c:pt idx="2">
                  <c:v>South America</c:v>
                </c:pt>
                <c:pt idx="3">
                  <c:v>Asia</c:v>
                </c:pt>
                <c:pt idx="4">
                  <c:v>Africa</c:v>
                </c:pt>
                <c:pt idx="5">
                  <c:v>Oceania</c:v>
                </c:pt>
              </c:strCache>
            </c:strRef>
          </c:cat>
          <c:val>
            <c:numRef>
              <c:f>'Global Death Share'!$C$2:$C$7</c:f>
              <c:numCache>
                <c:formatCode>0.00"%"</c:formatCode>
                <c:ptCount val="6"/>
                <c:pt idx="0">
                  <c:v>31.97</c:v>
                </c:pt>
                <c:pt idx="1">
                  <c:v>26.66</c:v>
                </c:pt>
                <c:pt idx="2">
                  <c:v>21.14</c:v>
                </c:pt>
                <c:pt idx="3">
                  <c:v>16.36</c:v>
                </c:pt>
                <c:pt idx="4">
                  <c:v>3.83</c:v>
                </c:pt>
                <c:pt idx="5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55-436B-9526-BB3EB369C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  <c:txPr>
        <a:bodyPr/>
        <a:lstStyle/>
        <a:p>
          <a:pPr rtl="0">
            <a:defRPr/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Total Deaths by Continent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Deaths</c:v>
          </c:tx>
          <c:spPr>
            <a:solidFill>
              <a:srgbClr val="B53028"/>
            </a:solidFill>
          </c:spPr>
          <c:invertIfNegative val="0"/>
          <c:cat>
            <c:strRef>
              <c:f>'Global Death Share'!$A$2:$A$7</c:f>
              <c:strCache>
                <c:ptCount val="6"/>
                <c:pt idx="0">
                  <c:v>Europe</c:v>
                </c:pt>
                <c:pt idx="1">
                  <c:v>North America</c:v>
                </c:pt>
                <c:pt idx="2">
                  <c:v>South America</c:v>
                </c:pt>
                <c:pt idx="3">
                  <c:v>Asia</c:v>
                </c:pt>
                <c:pt idx="4">
                  <c:v>Africa</c:v>
                </c:pt>
                <c:pt idx="5">
                  <c:v>Oceania</c:v>
                </c:pt>
              </c:strCache>
            </c:strRef>
          </c:cat>
          <c:val>
            <c:numRef>
              <c:f>'Global Death Share'!$B$2:$B$7</c:f>
              <c:numCache>
                <c:formatCode>#,##0</c:formatCode>
                <c:ptCount val="6"/>
                <c:pt idx="0">
                  <c:v>1016750</c:v>
                </c:pt>
                <c:pt idx="1">
                  <c:v>847942</c:v>
                </c:pt>
                <c:pt idx="2">
                  <c:v>672415</c:v>
                </c:pt>
                <c:pt idx="3">
                  <c:v>520286</c:v>
                </c:pt>
                <c:pt idx="4">
                  <c:v>121784</c:v>
                </c:pt>
                <c:pt idx="5">
                  <c:v>1046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F5-4187-B4B0-6E1AD276E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873360"/>
        <c:axId val="402872640"/>
      </c:barChart>
      <c:catAx>
        <c:axId val="4028733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Continent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2872640"/>
        <c:crosses val="autoZero"/>
        <c:auto val="1"/>
        <c:lblAlgn val="ctr"/>
        <c:lblOffset val="100"/>
        <c:noMultiLvlLbl val="0"/>
      </c:catAx>
      <c:valAx>
        <c:axId val="40287264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Deaths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4028733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Case Fatality Rate (CFR) — Top 10 Countries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CFR (%)</c:v>
          </c:tx>
          <c:spPr>
            <a:solidFill>
              <a:srgbClr val="D4D41A"/>
            </a:solidFill>
          </c:spPr>
          <c:invertIfNegative val="0"/>
          <c:dLbls>
            <c:numFmt formatCode="0.00&quot;%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'Country CFR'!$A$2:$A$11</c:f>
              <c:strCache>
                <c:ptCount val="10"/>
                <c:pt idx="0">
                  <c:v>Mexico</c:v>
                </c:pt>
                <c:pt idx="1">
                  <c:v>Italy</c:v>
                </c:pt>
                <c:pt idx="2">
                  <c:v>United Kingdom</c:v>
                </c:pt>
                <c:pt idx="3">
                  <c:v>Brazil</c:v>
                </c:pt>
                <c:pt idx="4">
                  <c:v>Germany</c:v>
                </c:pt>
                <c:pt idx="5">
                  <c:v>Russia</c:v>
                </c:pt>
                <c:pt idx="6">
                  <c:v>Spain</c:v>
                </c:pt>
                <c:pt idx="7">
                  <c:v>France</c:v>
                </c:pt>
                <c:pt idx="8">
                  <c:v>United States</c:v>
                </c:pt>
                <c:pt idx="9">
                  <c:v>India</c:v>
                </c:pt>
              </c:strCache>
            </c:strRef>
          </c:cat>
          <c:val>
            <c:numRef>
              <c:f>'Country CFR'!$B$2:$B$11</c:f>
              <c:numCache>
                <c:formatCode>0.00"%"</c:formatCode>
                <c:ptCount val="10"/>
                <c:pt idx="0">
                  <c:v>9.25</c:v>
                </c:pt>
                <c:pt idx="1">
                  <c:v>3</c:v>
                </c:pt>
                <c:pt idx="2">
                  <c:v>2.88</c:v>
                </c:pt>
                <c:pt idx="3">
                  <c:v>2.75</c:v>
                </c:pt>
                <c:pt idx="4">
                  <c:v>2.44</c:v>
                </c:pt>
                <c:pt idx="5">
                  <c:v>2.2799999999999998</c:v>
                </c:pt>
                <c:pt idx="6">
                  <c:v>2.2200000000000002</c:v>
                </c:pt>
                <c:pt idx="7">
                  <c:v>1.84</c:v>
                </c:pt>
                <c:pt idx="8">
                  <c:v>1.78</c:v>
                </c:pt>
                <c:pt idx="9">
                  <c:v>1.1100000000000001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1-4338-83F0-33633D964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7077128"/>
        <c:axId val="397079288"/>
      </c:barChart>
      <c:catAx>
        <c:axId val="397077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7079288"/>
        <c:crosses val="autoZero"/>
        <c:auto val="1"/>
        <c:lblAlgn val="ctr"/>
        <c:lblOffset val="100"/>
        <c:noMultiLvlLbl val="0"/>
      </c:catAx>
      <c:valAx>
        <c:axId val="39707928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CFR (%)</a:t>
                </a:r>
              </a:p>
            </c:rich>
          </c:tx>
          <c:overlay val="0"/>
        </c:title>
        <c:numFmt formatCode="0.00&quot;%&quot;" sourceLinked="1"/>
        <c:majorTickMark val="out"/>
        <c:minorTickMark val="none"/>
        <c:tickLblPos val="nextTo"/>
        <c:crossAx val="39707712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120650</xdr:colOff>
      <xdr:row>3</xdr:row>
      <xdr:rowOff>165100</xdr:rowOff>
    </xdr:from>
    <xdr:to>
      <xdr:col>19</xdr:col>
      <xdr:colOff>476250</xdr:colOff>
      <xdr:row>20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47971-C1DB-B903-BFDB-07C9A9C6F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12</xdr:row>
      <xdr:rowOff>63500</xdr:rowOff>
    </xdr:from>
    <xdr:to>
      <xdr:col>10</xdr:col>
      <xdr:colOff>130175</xdr:colOff>
      <xdr:row>33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0A03D9-58F5-9DC0-D7D6-7416D5CF5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6</xdr:row>
      <xdr:rowOff>133350</xdr:rowOff>
    </xdr:from>
    <xdr:to>
      <xdr:col>10</xdr:col>
      <xdr:colOff>130175</xdr:colOff>
      <xdr:row>33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676E55-8517-DD5F-63C8-FCAFB320C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13</xdr:row>
      <xdr:rowOff>0</xdr:rowOff>
    </xdr:from>
    <xdr:to>
      <xdr:col>4</xdr:col>
      <xdr:colOff>447675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00595-8976-093B-61B3-168399BFD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92075</xdr:colOff>
      <xdr:row>13</xdr:row>
      <xdr:rowOff>0</xdr:rowOff>
    </xdr:from>
    <xdr:to>
      <xdr:col>13</xdr:col>
      <xdr:colOff>295275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D15E12-C312-C997-C0F6-D4412919A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13</xdr:row>
      <xdr:rowOff>0</xdr:rowOff>
    </xdr:from>
    <xdr:to>
      <xdr:col>9</xdr:col>
      <xdr:colOff>203200</xdr:colOff>
      <xdr:row>34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6DFDD1-5B05-BA40-242E-BDE8888C2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ADA83C-9915-4B5F-BC1D-BB06F6F74829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1B24-956F-43C4-AC6E-0806AEF0D8C5}">
  <sheetPr>
    <tabColor rgb="FF2830B5"/>
  </sheetPr>
  <dimension ref="A1:C13"/>
  <sheetViews>
    <sheetView workbookViewId="0"/>
  </sheetViews>
  <sheetFormatPr defaultRowHeight="15" x14ac:dyDescent="0.25"/>
  <cols>
    <col min="1" max="1" width="34.7109375" customWidth="1"/>
    <col min="2" max="2" width="22.7109375" customWidth="1"/>
    <col min="3" max="3" width="5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3180223</v>
      </c>
      <c r="C2" t="s">
        <v>4</v>
      </c>
    </row>
    <row r="3" spans="1:3" x14ac:dyDescent="0.25">
      <c r="A3" t="s">
        <v>5</v>
      </c>
      <c r="B3" s="2">
        <v>151398759</v>
      </c>
      <c r="C3" t="s">
        <v>4</v>
      </c>
    </row>
    <row r="4" spans="1:3" x14ac:dyDescent="0.25">
      <c r="A4" t="s">
        <v>6</v>
      </c>
      <c r="B4" s="3">
        <v>2.1000000000000001E-2</v>
      </c>
      <c r="C4" t="s">
        <v>7</v>
      </c>
    </row>
    <row r="5" spans="1:3" x14ac:dyDescent="0.25">
      <c r="A5" t="s">
        <v>8</v>
      </c>
      <c r="B5" t="s">
        <v>9</v>
      </c>
      <c r="C5" t="s">
        <v>10</v>
      </c>
    </row>
    <row r="6" spans="1:3" x14ac:dyDescent="0.25">
      <c r="A6" t="s">
        <v>11</v>
      </c>
      <c r="B6" s="2">
        <v>85172</v>
      </c>
      <c r="C6" t="s">
        <v>12</v>
      </c>
    </row>
    <row r="7" spans="1:3" x14ac:dyDescent="0.25">
      <c r="A7" t="s">
        <v>13</v>
      </c>
      <c r="B7">
        <v>59</v>
      </c>
      <c r="C7" t="s">
        <v>14</v>
      </c>
    </row>
    <row r="8" spans="1:3" x14ac:dyDescent="0.25">
      <c r="A8" t="s">
        <v>15</v>
      </c>
      <c r="B8" t="s">
        <v>16</v>
      </c>
      <c r="C8" t="s">
        <v>17</v>
      </c>
    </row>
    <row r="9" spans="1:3" x14ac:dyDescent="0.25">
      <c r="A9" t="s">
        <v>18</v>
      </c>
      <c r="B9" s="4">
        <v>44197</v>
      </c>
      <c r="C9" t="s">
        <v>19</v>
      </c>
    </row>
    <row r="10" spans="1:3" x14ac:dyDescent="0.25">
      <c r="A10" t="s">
        <v>20</v>
      </c>
      <c r="B10" t="s">
        <v>21</v>
      </c>
      <c r="C10" t="s">
        <v>22</v>
      </c>
    </row>
    <row r="11" spans="1:3" x14ac:dyDescent="0.25">
      <c r="A11" t="s">
        <v>23</v>
      </c>
      <c r="B11" t="s">
        <v>24</v>
      </c>
      <c r="C11" t="s">
        <v>25</v>
      </c>
    </row>
    <row r="12" spans="1:3" x14ac:dyDescent="0.25">
      <c r="A12" t="s">
        <v>26</v>
      </c>
      <c r="B12" t="s">
        <v>27</v>
      </c>
      <c r="C12" t="s">
        <v>28</v>
      </c>
    </row>
    <row r="13" spans="1:3" x14ac:dyDescent="0.25">
      <c r="A13" t="s">
        <v>29</v>
      </c>
      <c r="B13" t="s">
        <v>30</v>
      </c>
      <c r="C13" s="3">
        <v>1.11E-2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526E-FB4F-4A82-9554-8B6F5F8300E1}">
  <sheetPr>
    <tabColor rgb="FFC47F2A"/>
  </sheetPr>
  <dimension ref="A1:D7"/>
  <sheetViews>
    <sheetView workbookViewId="0"/>
  </sheetViews>
  <sheetFormatPr defaultRowHeight="15" x14ac:dyDescent="0.25"/>
  <cols>
    <col min="1" max="1" width="18.7109375" customWidth="1"/>
    <col min="2" max="3" width="16.7109375" customWidth="1"/>
    <col min="4" max="4" width="26.7109375" customWidth="1"/>
  </cols>
  <sheetData>
    <row r="1" spans="1:4" x14ac:dyDescent="0.25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25">
      <c r="A2" t="s">
        <v>21</v>
      </c>
      <c r="B2">
        <v>1016750</v>
      </c>
      <c r="C2">
        <v>39541253</v>
      </c>
      <c r="D2">
        <v>31.97</v>
      </c>
    </row>
    <row r="3" spans="1:4" x14ac:dyDescent="0.25">
      <c r="A3" t="s">
        <v>35</v>
      </c>
      <c r="B3">
        <v>847942</v>
      </c>
      <c r="C3">
        <v>35264819</v>
      </c>
      <c r="D3">
        <v>26.66</v>
      </c>
    </row>
    <row r="4" spans="1:4" x14ac:dyDescent="0.25">
      <c r="A4" t="s">
        <v>36</v>
      </c>
      <c r="B4">
        <v>672415</v>
      </c>
      <c r="C4">
        <v>14666852</v>
      </c>
      <c r="D4">
        <v>21.14</v>
      </c>
    </row>
    <row r="5" spans="1:4" x14ac:dyDescent="0.25">
      <c r="A5" t="s">
        <v>37</v>
      </c>
      <c r="B5">
        <v>520286</v>
      </c>
      <c r="C5">
        <v>59826124</v>
      </c>
      <c r="D5">
        <v>16.36</v>
      </c>
    </row>
    <row r="6" spans="1:4" x14ac:dyDescent="0.25">
      <c r="A6" t="s">
        <v>38</v>
      </c>
      <c r="B6">
        <v>121784</v>
      </c>
      <c r="C6">
        <v>4649741</v>
      </c>
      <c r="D6">
        <v>3.83</v>
      </c>
    </row>
    <row r="7" spans="1:4" x14ac:dyDescent="0.25">
      <c r="A7" t="s">
        <v>39</v>
      </c>
      <c r="B7">
        <v>1046</v>
      </c>
      <c r="C7">
        <v>119970</v>
      </c>
      <c r="D7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C278-BD94-4E18-9898-C77AB8B8EC7D}">
  <sheetPr>
    <tabColor rgb="FF1A89D4"/>
  </sheetPr>
  <dimension ref="A1:G11"/>
  <sheetViews>
    <sheetView workbookViewId="0"/>
  </sheetViews>
  <sheetFormatPr defaultRowHeight="15" x14ac:dyDescent="0.25"/>
  <cols>
    <col min="1" max="1" width="6.7109375" customWidth="1"/>
    <col min="2" max="2" width="18.7109375" customWidth="1"/>
    <col min="3" max="3" width="16.7109375" customWidth="1"/>
    <col min="4" max="5" width="14.7109375" customWidth="1"/>
    <col min="6" max="6" width="8.7109375" customWidth="1"/>
    <col min="7" max="7" width="32.7109375" customWidth="1"/>
  </cols>
  <sheetData>
    <row r="1" spans="1:7" x14ac:dyDescent="0.25">
      <c r="A1" s="1" t="s">
        <v>40</v>
      </c>
      <c r="B1" s="1" t="s">
        <v>41</v>
      </c>
      <c r="C1" s="1" t="s">
        <v>31</v>
      </c>
      <c r="D1" s="1" t="s">
        <v>32</v>
      </c>
      <c r="E1" s="1" t="s">
        <v>33</v>
      </c>
      <c r="F1" s="1" t="s">
        <v>42</v>
      </c>
      <c r="G1" s="1" t="s">
        <v>43</v>
      </c>
    </row>
    <row r="2" spans="1:7" x14ac:dyDescent="0.25">
      <c r="A2">
        <v>1</v>
      </c>
      <c r="B2" t="s">
        <v>24</v>
      </c>
      <c r="C2" t="s">
        <v>35</v>
      </c>
      <c r="D2">
        <v>576232</v>
      </c>
      <c r="E2">
        <v>32337511</v>
      </c>
      <c r="F2">
        <v>1.78</v>
      </c>
    </row>
    <row r="3" spans="1:7" x14ac:dyDescent="0.25">
      <c r="A3">
        <v>2</v>
      </c>
      <c r="B3" t="s">
        <v>44</v>
      </c>
      <c r="C3" t="s">
        <v>36</v>
      </c>
      <c r="D3">
        <v>403781</v>
      </c>
      <c r="E3">
        <v>14659011</v>
      </c>
      <c r="F3">
        <v>2.75</v>
      </c>
    </row>
    <row r="4" spans="1:7" x14ac:dyDescent="0.25">
      <c r="A4">
        <v>3</v>
      </c>
      <c r="B4" t="s">
        <v>27</v>
      </c>
      <c r="C4" t="s">
        <v>35</v>
      </c>
      <c r="D4">
        <v>216907</v>
      </c>
      <c r="E4">
        <v>234936</v>
      </c>
      <c r="F4">
        <v>9.25</v>
      </c>
      <c r="G4" t="s">
        <v>45</v>
      </c>
    </row>
    <row r="5" spans="1:7" x14ac:dyDescent="0.25">
      <c r="A5">
        <v>4</v>
      </c>
      <c r="B5" t="s">
        <v>30</v>
      </c>
      <c r="C5" t="s">
        <v>37</v>
      </c>
      <c r="D5">
        <v>211853</v>
      </c>
      <c r="E5">
        <v>19093942</v>
      </c>
      <c r="F5">
        <v>1.1100000000000001</v>
      </c>
    </row>
    <row r="6" spans="1:7" x14ac:dyDescent="0.25">
      <c r="A6">
        <v>5</v>
      </c>
      <c r="B6" t="s">
        <v>46</v>
      </c>
      <c r="C6" t="s">
        <v>21</v>
      </c>
      <c r="D6">
        <v>127775</v>
      </c>
      <c r="E6">
        <v>4433660</v>
      </c>
      <c r="F6">
        <v>2.88</v>
      </c>
    </row>
    <row r="7" spans="1:7" x14ac:dyDescent="0.25">
      <c r="A7">
        <v>6</v>
      </c>
      <c r="B7" t="s">
        <v>47</v>
      </c>
      <c r="C7" t="s">
        <v>21</v>
      </c>
      <c r="D7">
        <v>120807</v>
      </c>
      <c r="E7">
        <v>4022653</v>
      </c>
      <c r="F7">
        <v>3</v>
      </c>
    </row>
    <row r="8" spans="1:7" x14ac:dyDescent="0.25">
      <c r="A8">
        <v>7</v>
      </c>
      <c r="B8" t="s">
        <v>48</v>
      </c>
      <c r="C8" t="s">
        <v>21</v>
      </c>
      <c r="D8">
        <v>108290</v>
      </c>
      <c r="E8">
        <v>4741672</v>
      </c>
      <c r="F8">
        <v>2.2799999999999998</v>
      </c>
    </row>
    <row r="9" spans="1:7" x14ac:dyDescent="0.25">
      <c r="A9">
        <v>8</v>
      </c>
      <c r="B9" t="s">
        <v>49</v>
      </c>
      <c r="C9" t="s">
        <v>21</v>
      </c>
      <c r="D9">
        <v>104675</v>
      </c>
      <c r="E9">
        <v>5685483</v>
      </c>
      <c r="F9">
        <v>1.84</v>
      </c>
    </row>
    <row r="10" spans="1:7" x14ac:dyDescent="0.25">
      <c r="A10">
        <v>9</v>
      </c>
      <c r="B10" t="s">
        <v>50</v>
      </c>
      <c r="C10" t="s">
        <v>21</v>
      </c>
      <c r="D10">
        <v>83097</v>
      </c>
      <c r="E10">
        <v>3398813</v>
      </c>
      <c r="F10">
        <v>2.44</v>
      </c>
    </row>
    <row r="11" spans="1:7" x14ac:dyDescent="0.25">
      <c r="A11">
        <v>10</v>
      </c>
      <c r="B11" t="s">
        <v>51</v>
      </c>
      <c r="C11" t="s">
        <v>21</v>
      </c>
      <c r="D11">
        <v>78216</v>
      </c>
      <c r="E11">
        <v>3519120</v>
      </c>
      <c r="F11">
        <v>2.2200000000000002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45DCB-E7B6-4E5D-9B6A-153F10ACD420}">
  <sheetPr>
    <tabColor rgb="FF50B93F"/>
  </sheetPr>
  <dimension ref="A1:E17"/>
  <sheetViews>
    <sheetView topLeftCell="B1" workbookViewId="0">
      <selection activeCell="U21" sqref="U21"/>
    </sheetView>
  </sheetViews>
  <sheetFormatPr defaultRowHeight="15" x14ac:dyDescent="0.25"/>
  <cols>
    <col min="1" max="1" width="12.7109375" customWidth="1"/>
    <col min="2" max="2" width="7.7109375" customWidth="1"/>
    <col min="3" max="3" width="14.7109375" customWidth="1"/>
    <col min="4" max="4" width="18.7109375" customWidth="1"/>
    <col min="5" max="5" width="30.7109375" customWidth="1"/>
  </cols>
  <sheetData>
    <row r="1" spans="1:5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25">
      <c r="A2" s="4">
        <v>43831</v>
      </c>
      <c r="B2">
        <v>2020</v>
      </c>
      <c r="C2">
        <v>196</v>
      </c>
      <c r="D2">
        <v>196</v>
      </c>
      <c r="E2" t="s">
        <v>57</v>
      </c>
    </row>
    <row r="3" spans="1:5" x14ac:dyDescent="0.25">
      <c r="A3" s="4">
        <v>43862</v>
      </c>
      <c r="B3">
        <v>2020</v>
      </c>
      <c r="C3">
        <v>2723</v>
      </c>
      <c r="D3">
        <v>2919</v>
      </c>
      <c r="E3" t="s">
        <v>57</v>
      </c>
    </row>
    <row r="4" spans="1:5" x14ac:dyDescent="0.25">
      <c r="A4" s="4">
        <v>43891</v>
      </c>
      <c r="B4">
        <v>2020</v>
      </c>
      <c r="C4">
        <v>41581</v>
      </c>
      <c r="D4">
        <v>44500</v>
      </c>
      <c r="E4" t="s">
        <v>58</v>
      </c>
    </row>
    <row r="5" spans="1:5" x14ac:dyDescent="0.25">
      <c r="A5" s="4">
        <v>43922</v>
      </c>
      <c r="B5">
        <v>2020</v>
      </c>
      <c r="C5">
        <v>192885</v>
      </c>
      <c r="D5">
        <v>237385</v>
      </c>
      <c r="E5" t="s">
        <v>59</v>
      </c>
    </row>
    <row r="6" spans="1:5" x14ac:dyDescent="0.25">
      <c r="A6" s="4">
        <v>43952</v>
      </c>
      <c r="B6">
        <v>2020</v>
      </c>
      <c r="C6">
        <v>137618</v>
      </c>
      <c r="D6">
        <v>375003</v>
      </c>
      <c r="E6" t="s">
        <v>60</v>
      </c>
    </row>
    <row r="7" spans="1:5" x14ac:dyDescent="0.25">
      <c r="A7" s="4">
        <v>43983</v>
      </c>
      <c r="B7">
        <v>2020</v>
      </c>
      <c r="C7">
        <v>133145</v>
      </c>
      <c r="D7">
        <v>508148</v>
      </c>
      <c r="E7" t="s">
        <v>61</v>
      </c>
    </row>
    <row r="8" spans="1:5" x14ac:dyDescent="0.25">
      <c r="A8" s="4">
        <v>44013</v>
      </c>
      <c r="B8">
        <v>2020</v>
      </c>
      <c r="C8">
        <v>167327</v>
      </c>
      <c r="D8">
        <v>675475</v>
      </c>
      <c r="E8" t="s">
        <v>61</v>
      </c>
    </row>
    <row r="9" spans="1:5" x14ac:dyDescent="0.25">
      <c r="A9" s="4">
        <v>44044</v>
      </c>
      <c r="B9">
        <v>2020</v>
      </c>
      <c r="C9">
        <v>175564</v>
      </c>
      <c r="D9">
        <v>851039</v>
      </c>
      <c r="E9" t="s">
        <v>61</v>
      </c>
    </row>
    <row r="10" spans="1:5" x14ac:dyDescent="0.25">
      <c r="A10" s="4">
        <v>44075</v>
      </c>
      <c r="B10">
        <v>2020</v>
      </c>
      <c r="C10">
        <v>163905</v>
      </c>
      <c r="D10">
        <v>1014944</v>
      </c>
      <c r="E10" t="s">
        <v>62</v>
      </c>
    </row>
    <row r="11" spans="1:5" x14ac:dyDescent="0.25">
      <c r="A11" s="4">
        <v>44105</v>
      </c>
      <c r="B11">
        <v>2020</v>
      </c>
      <c r="C11">
        <v>181802</v>
      </c>
      <c r="D11">
        <v>1196746</v>
      </c>
      <c r="E11" t="s">
        <v>63</v>
      </c>
    </row>
    <row r="12" spans="1:5" x14ac:dyDescent="0.25">
      <c r="A12" s="4">
        <v>44136</v>
      </c>
      <c r="B12">
        <v>2020</v>
      </c>
      <c r="C12">
        <v>274821</v>
      </c>
      <c r="D12">
        <v>1471567</v>
      </c>
      <c r="E12" t="s">
        <v>64</v>
      </c>
    </row>
    <row r="13" spans="1:5" x14ac:dyDescent="0.25">
      <c r="A13" s="4">
        <v>44166</v>
      </c>
      <c r="B13">
        <v>2020</v>
      </c>
      <c r="C13">
        <v>353343</v>
      </c>
      <c r="D13">
        <v>1824910</v>
      </c>
      <c r="E13" t="s">
        <v>65</v>
      </c>
    </row>
    <row r="14" spans="1:5" x14ac:dyDescent="0.25">
      <c r="A14" s="4">
        <v>44197</v>
      </c>
      <c r="B14">
        <v>2021</v>
      </c>
      <c r="C14">
        <v>411021</v>
      </c>
      <c r="D14">
        <v>2235931</v>
      </c>
      <c r="E14" t="s">
        <v>66</v>
      </c>
    </row>
    <row r="15" spans="1:5" x14ac:dyDescent="0.25">
      <c r="A15" s="4">
        <v>44228</v>
      </c>
      <c r="B15">
        <v>2021</v>
      </c>
      <c r="C15">
        <v>297465</v>
      </c>
      <c r="D15">
        <v>2533396</v>
      </c>
      <c r="E15" t="s">
        <v>67</v>
      </c>
    </row>
    <row r="16" spans="1:5" x14ac:dyDescent="0.25">
      <c r="A16" s="4">
        <v>44256</v>
      </c>
      <c r="B16">
        <v>2021</v>
      </c>
      <c r="C16">
        <v>282654</v>
      </c>
      <c r="D16">
        <v>2816050</v>
      </c>
      <c r="E16" t="s">
        <v>68</v>
      </c>
    </row>
    <row r="17" spans="1:5" x14ac:dyDescent="0.25">
      <c r="A17" s="4">
        <v>44287</v>
      </c>
      <c r="B17">
        <v>2021</v>
      </c>
      <c r="C17">
        <v>364156</v>
      </c>
      <c r="D17">
        <v>3180206</v>
      </c>
      <c r="E17" t="s">
        <v>69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A4E0-1736-473C-ACF5-927E49893A21}">
  <dimension ref="A1:C7"/>
  <sheetViews>
    <sheetView topLeftCell="A2" workbookViewId="0"/>
  </sheetViews>
  <sheetFormatPr defaultRowHeight="15" x14ac:dyDescent="0.25"/>
  <cols>
    <col min="1" max="1" width="18.7109375" customWidth="1"/>
    <col min="2" max="3" width="16.7109375" customWidth="1"/>
  </cols>
  <sheetData>
    <row r="1" spans="1:3" x14ac:dyDescent="0.25">
      <c r="A1" s="5" t="s">
        <v>31</v>
      </c>
      <c r="B1" s="5" t="s">
        <v>33</v>
      </c>
      <c r="C1" s="5" t="s">
        <v>32</v>
      </c>
    </row>
    <row r="2" spans="1:3" x14ac:dyDescent="0.25">
      <c r="A2" t="s">
        <v>38</v>
      </c>
      <c r="B2" s="2">
        <v>4557699</v>
      </c>
      <c r="C2" s="2">
        <v>121784</v>
      </c>
    </row>
    <row r="3" spans="1:3" x14ac:dyDescent="0.25">
      <c r="A3" s="6" t="s">
        <v>37</v>
      </c>
      <c r="B3" s="7">
        <v>39526308</v>
      </c>
      <c r="C3" s="7">
        <v>520286</v>
      </c>
    </row>
    <row r="4" spans="1:3" x14ac:dyDescent="0.25">
      <c r="A4" t="s">
        <v>21</v>
      </c>
      <c r="B4" s="2">
        <v>44863478</v>
      </c>
      <c r="C4" s="2">
        <v>1016750</v>
      </c>
    </row>
    <row r="5" spans="1:3" x14ac:dyDescent="0.25">
      <c r="A5" s="6" t="s">
        <v>35</v>
      </c>
      <c r="B5" s="7">
        <v>37529488</v>
      </c>
      <c r="C5" s="7">
        <v>847942</v>
      </c>
    </row>
    <row r="6" spans="1:3" x14ac:dyDescent="0.25">
      <c r="A6" t="s">
        <v>39</v>
      </c>
      <c r="B6" s="2">
        <v>43570</v>
      </c>
      <c r="C6" s="2">
        <v>1046</v>
      </c>
    </row>
    <row r="7" spans="1:3" x14ac:dyDescent="0.25">
      <c r="A7" s="6" t="s">
        <v>36</v>
      </c>
      <c r="B7" s="7">
        <v>24878216</v>
      </c>
      <c r="C7" s="7">
        <v>672415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D6E1-C82E-463F-89AC-34F28DED585D}">
  <dimension ref="A1:C11"/>
  <sheetViews>
    <sheetView workbookViewId="0">
      <selection activeCell="I2" sqref="I2"/>
    </sheetView>
  </sheetViews>
  <sheetFormatPr defaultRowHeight="15" x14ac:dyDescent="0.25"/>
  <cols>
    <col min="1" max="1" width="18.7109375" customWidth="1"/>
    <col min="2" max="3" width="16.7109375" customWidth="1"/>
  </cols>
  <sheetData>
    <row r="1" spans="1:3" x14ac:dyDescent="0.25">
      <c r="A1" s="5" t="s">
        <v>41</v>
      </c>
      <c r="B1" s="5" t="s">
        <v>33</v>
      </c>
      <c r="C1" s="5" t="s">
        <v>32</v>
      </c>
    </row>
    <row r="2" spans="1:3" x14ac:dyDescent="0.25">
      <c r="A2" t="s">
        <v>24</v>
      </c>
      <c r="B2" s="2">
        <v>32346971</v>
      </c>
      <c r="C2" s="2">
        <v>576232</v>
      </c>
    </row>
    <row r="3" spans="1:3" x14ac:dyDescent="0.25">
      <c r="A3" t="s">
        <v>44</v>
      </c>
      <c r="B3" s="2">
        <v>14659011</v>
      </c>
      <c r="C3" s="2">
        <v>403781</v>
      </c>
    </row>
    <row r="4" spans="1:3" x14ac:dyDescent="0.25">
      <c r="A4" t="s">
        <v>27</v>
      </c>
      <c r="B4" s="2">
        <v>2344755</v>
      </c>
      <c r="C4" s="2">
        <v>216907</v>
      </c>
    </row>
    <row r="5" spans="1:3" x14ac:dyDescent="0.25">
      <c r="A5" t="s">
        <v>30</v>
      </c>
      <c r="B5" s="2">
        <v>19164969</v>
      </c>
      <c r="C5" s="2">
        <v>211853</v>
      </c>
    </row>
    <row r="6" spans="1:3" x14ac:dyDescent="0.25">
      <c r="A6" t="s">
        <v>46</v>
      </c>
      <c r="B6" s="2">
        <v>4432246</v>
      </c>
      <c r="C6" s="2">
        <v>127775</v>
      </c>
    </row>
    <row r="7" spans="1:3" x14ac:dyDescent="0.25">
      <c r="A7" t="s">
        <v>47</v>
      </c>
      <c r="B7" s="2">
        <v>4022653</v>
      </c>
      <c r="C7" s="2">
        <v>120807</v>
      </c>
    </row>
    <row r="8" spans="1:3" x14ac:dyDescent="0.25">
      <c r="A8" t="s">
        <v>48</v>
      </c>
      <c r="B8" s="2">
        <v>4750755</v>
      </c>
      <c r="C8" s="2">
        <v>108290</v>
      </c>
    </row>
    <row r="9" spans="1:3" x14ac:dyDescent="0.25">
      <c r="A9" t="s">
        <v>49</v>
      </c>
      <c r="B9" s="2">
        <v>5677835</v>
      </c>
      <c r="C9" s="2">
        <v>104675</v>
      </c>
    </row>
    <row r="10" spans="1:3" x14ac:dyDescent="0.25">
      <c r="A10" t="s">
        <v>50</v>
      </c>
      <c r="B10" s="2">
        <v>3405365</v>
      </c>
      <c r="C10" s="2">
        <v>83097</v>
      </c>
    </row>
    <row r="11" spans="1:3" x14ac:dyDescent="0.25">
      <c r="A11" t="s">
        <v>51</v>
      </c>
      <c r="B11" s="2">
        <v>3524077</v>
      </c>
      <c r="C11" s="2">
        <v>78216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B79DA-108E-4B1B-9C77-DFE5CF1FE61C}">
  <dimension ref="A1:C7"/>
  <sheetViews>
    <sheetView tabSelected="1" workbookViewId="0"/>
  </sheetViews>
  <sheetFormatPr defaultRowHeight="15" x14ac:dyDescent="0.25"/>
  <cols>
    <col min="1" max="1" width="18.7109375" customWidth="1"/>
    <col min="2" max="2" width="16.7109375" customWidth="1"/>
    <col min="3" max="3" width="28.7109375" customWidth="1"/>
  </cols>
  <sheetData>
    <row r="1" spans="1:3" x14ac:dyDescent="0.25">
      <c r="A1" s="5" t="s">
        <v>31</v>
      </c>
      <c r="B1" s="5" t="s">
        <v>32</v>
      </c>
      <c r="C1" s="5" t="s">
        <v>70</v>
      </c>
    </row>
    <row r="2" spans="1:3" x14ac:dyDescent="0.25">
      <c r="A2" t="s">
        <v>21</v>
      </c>
      <c r="B2" s="2">
        <v>1016750</v>
      </c>
      <c r="C2" s="8">
        <v>31.97</v>
      </c>
    </row>
    <row r="3" spans="1:3" x14ac:dyDescent="0.25">
      <c r="A3" s="6" t="s">
        <v>35</v>
      </c>
      <c r="B3" s="7">
        <v>847942</v>
      </c>
      <c r="C3" s="9">
        <v>26.66</v>
      </c>
    </row>
    <row r="4" spans="1:3" x14ac:dyDescent="0.25">
      <c r="A4" t="s">
        <v>36</v>
      </c>
      <c r="B4" s="2">
        <v>672415</v>
      </c>
      <c r="C4" s="8">
        <v>21.14</v>
      </c>
    </row>
    <row r="5" spans="1:3" x14ac:dyDescent="0.25">
      <c r="A5" s="6" t="s">
        <v>37</v>
      </c>
      <c r="B5" s="7">
        <v>520286</v>
      </c>
      <c r="C5" s="9">
        <v>16.36</v>
      </c>
    </row>
    <row r="6" spans="1:3" x14ac:dyDescent="0.25">
      <c r="A6" t="s">
        <v>38</v>
      </c>
      <c r="B6" s="2">
        <v>121784</v>
      </c>
      <c r="C6" s="8">
        <v>3.83</v>
      </c>
    </row>
    <row r="7" spans="1:3" x14ac:dyDescent="0.25">
      <c r="A7" s="6" t="s">
        <v>39</v>
      </c>
      <c r="B7" s="7">
        <v>1046</v>
      </c>
      <c r="C7" s="9">
        <v>0.03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A402-CEE1-4F5C-99CD-A97718EA4609}">
  <dimension ref="A1:B11"/>
  <sheetViews>
    <sheetView workbookViewId="0"/>
  </sheetViews>
  <sheetFormatPr defaultRowHeight="15" x14ac:dyDescent="0.25"/>
  <cols>
    <col min="1" max="1" width="18.7109375" customWidth="1"/>
    <col min="2" max="2" width="24.7109375" customWidth="1"/>
  </cols>
  <sheetData>
    <row r="1" spans="1:2" x14ac:dyDescent="0.25">
      <c r="A1" s="5" t="s">
        <v>41</v>
      </c>
      <c r="B1" s="5" t="s">
        <v>71</v>
      </c>
    </row>
    <row r="2" spans="1:2" x14ac:dyDescent="0.25">
      <c r="A2" t="s">
        <v>27</v>
      </c>
      <c r="B2" s="8">
        <v>9.25</v>
      </c>
    </row>
    <row r="3" spans="1:2" x14ac:dyDescent="0.25">
      <c r="A3" s="6" t="s">
        <v>47</v>
      </c>
      <c r="B3" s="9">
        <v>3</v>
      </c>
    </row>
    <row r="4" spans="1:2" x14ac:dyDescent="0.25">
      <c r="A4" t="s">
        <v>46</v>
      </c>
      <c r="B4" s="8">
        <v>2.88</v>
      </c>
    </row>
    <row r="5" spans="1:2" x14ac:dyDescent="0.25">
      <c r="A5" s="6" t="s">
        <v>44</v>
      </c>
      <c r="B5" s="9">
        <v>2.75</v>
      </c>
    </row>
    <row r="6" spans="1:2" x14ac:dyDescent="0.25">
      <c r="A6" t="s">
        <v>50</v>
      </c>
      <c r="B6" s="8">
        <v>2.44</v>
      </c>
    </row>
    <row r="7" spans="1:2" x14ac:dyDescent="0.25">
      <c r="A7" s="6" t="s">
        <v>48</v>
      </c>
      <c r="B7" s="9">
        <v>2.2799999999999998</v>
      </c>
    </row>
    <row r="8" spans="1:2" x14ac:dyDescent="0.25">
      <c r="A8" t="s">
        <v>51</v>
      </c>
      <c r="B8" s="8">
        <v>2.2200000000000002</v>
      </c>
    </row>
    <row r="9" spans="1:2" x14ac:dyDescent="0.25">
      <c r="A9" s="6" t="s">
        <v>49</v>
      </c>
      <c r="B9" s="9">
        <v>1.84</v>
      </c>
    </row>
    <row r="10" spans="1:2" x14ac:dyDescent="0.25">
      <c r="A10" t="s">
        <v>24</v>
      </c>
      <c r="B10" s="8">
        <v>1.78</v>
      </c>
    </row>
    <row r="11" spans="1:2" x14ac:dyDescent="0.25">
      <c r="A11" s="6" t="s">
        <v>30</v>
      </c>
      <c r="B11" s="9">
        <v>1.1100000000000001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By Continent</vt:lpstr>
      <vt:lpstr>Top 10 Countries</vt:lpstr>
      <vt:lpstr>Monthly Trend</vt:lpstr>
      <vt:lpstr>Continent Analysis</vt:lpstr>
      <vt:lpstr>Country Analysis</vt:lpstr>
      <vt:lpstr>Global Death Share</vt:lpstr>
      <vt:lpstr>Country CFR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Opeyemi Obisesan</dc:creator>
  <cp:lastModifiedBy>Opeyemi Obisesan</cp:lastModifiedBy>
  <dcterms:created xsi:type="dcterms:W3CDTF">2026-06-20T13:01:05Z</dcterms:created>
  <dcterms:modified xsi:type="dcterms:W3CDTF">2026-06-21T20:27:25Z</dcterms:modified>
</cp:coreProperties>
</file>