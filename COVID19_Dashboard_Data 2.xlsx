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3.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3.xml" ContentType="application/vnd.ms-office.chartstyle+xml"/>
  <Override PartName="/xl/charts/colors3.xml" ContentType="application/vnd.ms-office.chartcolorstyle+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xl/drawings/drawing6.xml" ContentType="application/vnd.openxmlformats-officedocument.drawing+xml"/>
  <Override PartName="/xl/tables/table7.xml" ContentType="application/vnd.openxmlformats-officedocument.spreadsheetml.table+xml"/>
  <Override PartName="/xl/charts/chart15.xml" ContentType="application/vnd.openxmlformats-officedocument.drawingml.chart+xml"/>
  <Override PartName="/xl/drawings/drawing7.xml" ContentType="application/vnd.openxmlformats-officedocument.drawing+xml"/>
  <Override PartName="/xl/tables/table8.xml" ContentType="application/vnd.openxmlformats-officedocument.spreadsheetml.table+xml"/>
  <Override PartName="/xl/charts/chart16.xml" ContentType="application/vnd.openxmlformats-officedocument.drawingml.chart+xml"/>
  <Override PartName="/xl/charts/chart17.xml" ContentType="application/vnd.openxmlformats-officedocument.drawingml.chart+xml"/>
  <Override PartName="/xl/drawings/drawing8.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opeye\covid19-dashboard\"/>
    </mc:Choice>
  </mc:AlternateContent>
  <xr:revisionPtr revIDLastSave="0" documentId="13_ncr:1_{26164FDC-EC02-41F3-8663-BDB17C429B81}" xr6:coauthVersionLast="47" xr6:coauthVersionMax="47" xr10:uidLastSave="{00000000-0000-0000-0000-000000000000}"/>
  <bookViews>
    <workbookView xWindow="-120" yWindow="-120" windowWidth="25440" windowHeight="15270" firstSheet="2" activeTab="4" xr2:uid="{E6FA1B75-7659-4E76-8292-DDA708841F9D}"/>
  </bookViews>
  <sheets>
    <sheet name="Summary" sheetId="1" r:id="rId1"/>
    <sheet name="By Continent" sheetId="2" r:id="rId2"/>
    <sheet name="Top 10 Countries" sheetId="3" r:id="rId3"/>
    <sheet name="Monthly Trend" sheetId="4" r:id="rId4"/>
    <sheet name="Chart 1" sheetId="10" r:id="rId5"/>
    <sheet name="Chart 2" sheetId="11" r:id="rId6"/>
    <sheet name="Chart 3" sheetId="12" r:id="rId7"/>
    <sheet name="Continent Analysis" sheetId="7" r:id="rId8"/>
    <sheet name="Country Analysis" sheetId="6" r:id="rId9"/>
    <sheet name="Global Death Share" sheetId="8" r:id="rId10"/>
    <sheet name="Country CFR" sheetId="9" r:id="rId11"/>
  </sheets>
  <definedNames>
    <definedName name="_xlchart.v1.0" hidden="1">'Country CFR'!$A$2:$A$11</definedName>
    <definedName name="_xlchart.v1.1" hidden="1">'Country CFR'!$B$2:$B$11</definedName>
    <definedName name="_xlchart.v1.10" hidden="1">'Continent Analysis'!$A$2:$A$7</definedName>
    <definedName name="_xlchart.v1.11" hidden="1">'Continent Analysis'!$B$2:$B$7</definedName>
    <definedName name="_xlchart.v1.12" hidden="1">'Continent Analysis'!$C$2:$C$7</definedName>
    <definedName name="_xlchart.v1.13" hidden="1">'Country CFR'!$A$2:$A$11</definedName>
    <definedName name="_xlchart.v1.14" hidden="1">'Country CFR'!$B$2:$B$11</definedName>
    <definedName name="_xlchart.v1.2" hidden="1">'Country CFR'!$A$2:$A$11</definedName>
    <definedName name="_xlchart.v1.3" hidden="1">'Country CFR'!$B$2:$B$11</definedName>
    <definedName name="_xlchart.v1.4" hidden="1">'Country CFR'!$A$2:$A$11</definedName>
    <definedName name="_xlchart.v1.5" hidden="1">'Country CFR'!$B$2:$B$11</definedName>
    <definedName name="_xlchart.v1.6" hidden="1">'Country CFR'!$A$2:$A$11</definedName>
    <definedName name="_xlchart.v1.7" hidden="1">'Country CFR'!$B$2:$B$11</definedName>
    <definedName name="_xlchart.v1.8" hidden="1">'Global Death Share'!$A$2:$A$7</definedName>
    <definedName name="_xlchart.v1.9" hidden="1">'Global Death Share'!$C$2:$C$7</definedName>
    <definedName name="Slicer_Continent">#N/A</definedName>
    <definedName name="Slicer_Continent1">#N/A</definedName>
    <definedName name="Slicer_Continent2">#N/A</definedName>
    <definedName name="Slicer_Country">#N/A</definedName>
    <definedName name="Slicer_Country1">#N/A</definedName>
    <definedName name="Slicer_Country2">#N/A</definedName>
    <definedName name="Slicer_Wave">#N/A</definedName>
    <definedName name="Slicer_Wave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4:slicerCache r:id="rId16"/>
        <x14:slicerCache r:id="rId17"/>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1" i="10" l="1"/>
  <c r="AB11" i="10"/>
  <c r="AD11" i="10" s="1"/>
  <c r="AA11" i="10"/>
  <c r="Z11" i="10"/>
  <c r="AD10" i="10"/>
  <c r="AB10" i="10"/>
  <c r="AA10" i="10"/>
  <c r="Z10" i="10"/>
  <c r="AC10" i="10" s="1"/>
  <c r="AC9" i="10"/>
  <c r="AB9" i="10"/>
  <c r="AD9" i="10" s="1"/>
  <c r="AA9" i="10"/>
  <c r="Z9" i="10"/>
  <c r="AB8" i="10"/>
  <c r="AD8" i="10" s="1"/>
  <c r="AA8" i="10"/>
  <c r="Z8" i="10"/>
  <c r="AC8" i="10" s="1"/>
  <c r="AC7" i="10"/>
  <c r="AB7" i="10"/>
  <c r="AA7" i="10"/>
  <c r="AD7" i="10" s="1"/>
  <c r="Z7" i="10"/>
  <c r="AD6" i="10"/>
  <c r="AB6" i="10"/>
  <c r="AA6" i="10"/>
  <c r="Z6" i="10"/>
  <c r="AC6" i="10" s="1"/>
  <c r="AC5" i="10"/>
  <c r="AB5" i="10"/>
  <c r="AD5" i="10" s="1"/>
  <c r="AA5" i="10"/>
  <c r="Z5" i="10"/>
  <c r="AB4" i="10"/>
  <c r="AD4" i="10" s="1"/>
  <c r="AA4" i="10"/>
  <c r="Z4" i="10"/>
  <c r="AC4" i="10" s="1"/>
  <c r="AC3" i="10"/>
  <c r="AB3" i="10"/>
  <c r="AA3" i="10"/>
  <c r="AD3" i="10" s="1"/>
  <c r="Z3" i="10"/>
  <c r="W7" i="10"/>
  <c r="V7" i="10"/>
  <c r="U7" i="10"/>
  <c r="W6" i="10"/>
  <c r="V6" i="10"/>
  <c r="U6" i="10"/>
  <c r="W5" i="10"/>
  <c r="V5" i="10"/>
  <c r="U5" i="10"/>
  <c r="W4" i="10"/>
  <c r="V4" i="10"/>
  <c r="U4" i="10"/>
  <c r="W3" i="10"/>
  <c r="V3" i="10"/>
  <c r="U3" i="10"/>
  <c r="S17" i="10"/>
  <c r="R17" i="10"/>
  <c r="Q17" i="10"/>
  <c r="P17" i="10"/>
  <c r="S16" i="10"/>
  <c r="R16" i="10"/>
  <c r="Q16" i="10"/>
  <c r="P16" i="10"/>
  <c r="S15" i="10"/>
  <c r="R15" i="10"/>
  <c r="Q15" i="10"/>
  <c r="P15" i="10"/>
  <c r="S14" i="10"/>
  <c r="R14" i="10"/>
  <c r="Q14" i="10"/>
  <c r="P14" i="10"/>
  <c r="S13" i="10"/>
  <c r="R13" i="10"/>
  <c r="Q13" i="10"/>
  <c r="P13" i="10"/>
  <c r="S12" i="10"/>
  <c r="R12" i="10"/>
  <c r="Q12" i="10"/>
  <c r="P12" i="10"/>
  <c r="S11" i="10"/>
  <c r="R11" i="10"/>
  <c r="Q11" i="10"/>
  <c r="P11" i="10"/>
  <c r="S10" i="10"/>
  <c r="R10" i="10"/>
  <c r="Q10" i="10"/>
  <c r="P10" i="10"/>
  <c r="S9" i="10"/>
  <c r="R9" i="10"/>
  <c r="Q9" i="10"/>
  <c r="P9" i="10"/>
  <c r="S8" i="10"/>
  <c r="R8" i="10"/>
  <c r="Q8" i="10"/>
  <c r="P8" i="10"/>
  <c r="S7" i="10"/>
  <c r="R7" i="10"/>
  <c r="Q7" i="10"/>
  <c r="P7" i="10"/>
  <c r="S6" i="10"/>
  <c r="R6" i="10"/>
  <c r="Q6" i="10"/>
  <c r="P6" i="10"/>
  <c r="S5" i="10"/>
  <c r="R5" i="10"/>
  <c r="Q5" i="10"/>
  <c r="P5" i="10"/>
  <c r="S4" i="10"/>
  <c r="R4" i="10"/>
  <c r="Q4" i="10"/>
  <c r="P4" i="10"/>
  <c r="S3" i="10"/>
  <c r="R3" i="10"/>
  <c r="Q3" i="10"/>
  <c r="P3" i="10"/>
  <c r="AD2" i="10"/>
  <c r="AC2" i="10"/>
  <c r="AB2" i="10"/>
  <c r="AA2" i="10"/>
  <c r="Z2" i="10"/>
  <c r="W2" i="10"/>
  <c r="V2" i="10"/>
  <c r="U2" i="10"/>
  <c r="S2" i="10"/>
  <c r="R2" i="10"/>
  <c r="Q2" i="10"/>
  <c r="P2" i="10"/>
  <c r="J5" i="10"/>
  <c r="G5" i="10"/>
  <c r="D5" i="10"/>
  <c r="A5" i="10"/>
  <c r="U7" i="12"/>
  <c r="T7" i="12"/>
  <c r="S7" i="12"/>
  <c r="U6" i="12"/>
  <c r="T6" i="12"/>
  <c r="S6" i="12"/>
  <c r="U5" i="12"/>
  <c r="T5" i="12"/>
  <c r="S5" i="12"/>
  <c r="U4" i="12"/>
  <c r="T4" i="12"/>
  <c r="S4" i="12"/>
  <c r="U3" i="12"/>
  <c r="T3" i="12"/>
  <c r="S3" i="12"/>
  <c r="Q11" i="12"/>
  <c r="P11" i="12"/>
  <c r="Q10" i="12"/>
  <c r="P10" i="12"/>
  <c r="Q9" i="12"/>
  <c r="P9" i="12"/>
  <c r="Q8" i="12"/>
  <c r="P8" i="12"/>
  <c r="Q7" i="12"/>
  <c r="P7" i="12"/>
  <c r="Q6" i="12"/>
  <c r="P6" i="12"/>
  <c r="Q5" i="12"/>
  <c r="P5" i="12"/>
  <c r="Q4" i="12"/>
  <c r="P4" i="12"/>
  <c r="Q3" i="12"/>
  <c r="P3" i="12"/>
  <c r="U2" i="12"/>
  <c r="T2" i="12"/>
  <c r="S2" i="12"/>
  <c r="Q2" i="12"/>
  <c r="P2" i="12"/>
  <c r="J5" i="12"/>
  <c r="G5" i="12"/>
  <c r="D5" i="12"/>
  <c r="A5" i="12"/>
  <c r="J5" i="11"/>
  <c r="G5" i="11"/>
  <c r="D5" i="11"/>
  <c r="A5" i="11"/>
</calcChain>
</file>

<file path=xl/sharedStrings.xml><?xml version="1.0" encoding="utf-8"?>
<sst xmlns="http://schemas.openxmlformats.org/spreadsheetml/2006/main" count="181" uniqueCount="82">
  <si>
    <t>Metric</t>
  </si>
  <si>
    <t>Value</t>
  </si>
  <si>
    <t>Notes</t>
  </si>
  <si>
    <t>Total Confirmed Deaths</t>
  </si>
  <si>
    <t>Global cumulative through Apr 2021</t>
  </si>
  <si>
    <t>Total Confirmed Cases</t>
  </si>
  <si>
    <t>Case Fatality Rate (CFR)</t>
  </si>
  <si>
    <t>Deaths / Confirmed Cases</t>
  </si>
  <si>
    <t>Countries &amp; Territories</t>
  </si>
  <si>
    <t>185+</t>
  </si>
  <si>
    <t>Rows with continent data</t>
  </si>
  <si>
    <t>Dataset Rows</t>
  </si>
  <si>
    <t>One row per country per day</t>
  </si>
  <si>
    <t>Dataset Columns</t>
  </si>
  <si>
    <t>Cases, deaths, vaccinations, demographics</t>
  </si>
  <si>
    <t>Data Period</t>
  </si>
  <si>
    <t>Jan 2020 – Apr 2021</t>
  </si>
  <si>
    <t>15 months of daily data</t>
  </si>
  <si>
    <t>Deadliest Month</t>
  </si>
  <si>
    <t>411,021 new deaths globally</t>
  </si>
  <si>
    <t>Most Affected Continent</t>
  </si>
  <si>
    <t>Europe</t>
  </si>
  <si>
    <t>1,016,750 deaths (32% of global)</t>
  </si>
  <si>
    <t>Leading Country</t>
  </si>
  <si>
    <t>United States</t>
  </si>
  <si>
    <t>576,232 deaths – 18.1% of global</t>
  </si>
  <si>
    <t>Highest CFR Country</t>
  </si>
  <si>
    <t>Mexico</t>
  </si>
  <si>
    <t>9.25% – likely severe case undercounting</t>
  </si>
  <si>
    <t>Lowest CFR (Top 10)</t>
  </si>
  <si>
    <t>India</t>
  </si>
  <si>
    <t>Continent</t>
  </si>
  <si>
    <t>Total Deaths</t>
  </si>
  <si>
    <t>Total Cases</t>
  </si>
  <si>
    <t>Share of Global Deaths %</t>
  </si>
  <si>
    <t>North America</t>
  </si>
  <si>
    <t>South America</t>
  </si>
  <si>
    <t>Asia</t>
  </si>
  <si>
    <t>Africa</t>
  </si>
  <si>
    <t>Oceania</t>
  </si>
  <si>
    <t>Rank</t>
  </si>
  <si>
    <t>Country</t>
  </si>
  <si>
    <t>CFR %</t>
  </si>
  <si>
    <t>Note</t>
  </si>
  <si>
    <t>Brazil</t>
  </si>
  <si>
    <t>Severe case undercounting likely</t>
  </si>
  <si>
    <t>United Kingdom</t>
  </si>
  <si>
    <t>Italy</t>
  </si>
  <si>
    <t>Russia</t>
  </si>
  <si>
    <t>France</t>
  </si>
  <si>
    <t>Germany</t>
  </si>
  <si>
    <t>Spain</t>
  </si>
  <si>
    <t>Month</t>
  </si>
  <si>
    <t>Year</t>
  </si>
  <si>
    <t>New Deaths</t>
  </si>
  <si>
    <t>Cumulative Deaths</t>
  </si>
  <si>
    <t>Wave</t>
  </si>
  <si>
    <t>Pre-wave</t>
  </si>
  <si>
    <t>1st Wave rising</t>
  </si>
  <si>
    <t>1st Wave peak</t>
  </si>
  <si>
    <t>1st Wave declining</t>
  </si>
  <si>
    <t>Inter-wave</t>
  </si>
  <si>
    <t>2nd Wave early</t>
  </si>
  <si>
    <t>2nd Wave rising</t>
  </si>
  <si>
    <t>2nd Wave accelerating</t>
  </si>
  <si>
    <t>2nd Wave peak</t>
  </si>
  <si>
    <t>2nd Wave peak (highest month)</t>
  </si>
  <si>
    <t>2nd Wave declining</t>
  </si>
  <si>
    <t>3rd Wave early</t>
  </si>
  <si>
    <t>3rd Wave rising</t>
  </si>
  <si>
    <t>Share of Global Deaths (%)</t>
  </si>
  <si>
    <t>Case Fatality Rate (%)</t>
  </si>
  <si>
    <t>COVID-19 GLOBAL DASHBOARD</t>
  </si>
  <si>
    <t>Global cumulative figures · Jan 2020 – Apr 2021</t>
  </si>
  <si>
    <t>TOTAL CONFIRMED CASES</t>
  </si>
  <si>
    <t>TOTAL CONFIRMED DEATHS</t>
  </si>
  <si>
    <t>CASE FATALITY RATE</t>
  </si>
  <si>
    <t>Deaths / confirmed cases</t>
  </si>
  <si>
    <t>COUNTRIES &amp; TERRITORIES</t>
  </si>
  <si>
    <t>Most affected: Europe</t>
  </si>
  <si>
    <t>Country (CFR)</t>
  </si>
  <si>
    <t>CFR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</si>
</sst>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quot;"/>
    <numFmt numFmtId="165" formatCode="0.0%"/>
  </numFmts>
  <fonts count="19" x14ac:knownFonts="1">
    <font>
      <sz val="11"/>
      <color theme="1"/>
      <name val="Calibri"/>
      <family val="2"/>
      <scheme val="minor"/>
    </font>
    <font>
      <b/>
      <sz val="10"/>
      <color rgb="FFF5E8D8"/>
      <name val="Calibri"/>
      <family val="2"/>
      <scheme val="minor"/>
    </font>
    <font>
      <b/>
      <sz val="11"/>
      <color rgb="FFF5E8D8"/>
      <name val="Calibri"/>
      <family val="2"/>
      <scheme val="minor"/>
    </font>
    <font>
      <b/>
      <sz val="20"/>
      <color rgb="FFF5E8D8"/>
      <name val="Calibri"/>
      <scheme val="minor"/>
    </font>
    <font>
      <sz val="11"/>
      <color rgb="FFC9B79C"/>
      <name val="Calibri"/>
      <scheme val="minor"/>
    </font>
    <font>
      <b/>
      <sz val="9"/>
      <color rgb="FF6B5844"/>
      <name val="Calibri"/>
      <family val="2"/>
      <scheme val="minor"/>
    </font>
    <font>
      <b/>
      <sz val="20"/>
      <color rgb="FF2E5E8C"/>
      <name val="Calibri"/>
      <family val="2"/>
      <scheme val="minor"/>
    </font>
    <font>
      <sz val="8"/>
      <color rgb="FF9A8C78"/>
      <name val="Calibri"/>
      <family val="2"/>
      <scheme val="minor"/>
    </font>
    <font>
      <b/>
      <sz val="20"/>
      <color rgb="FFB23A2E"/>
      <name val="Calibri"/>
      <family val="2"/>
      <scheme val="minor"/>
    </font>
    <font>
      <b/>
      <sz val="20"/>
      <color rgb="FFC77B30"/>
      <name val="Calibri"/>
      <family val="2"/>
      <scheme val="minor"/>
    </font>
    <font>
      <b/>
      <sz val="20"/>
      <color rgb="FF3E7C5A"/>
      <name val="Calibri"/>
      <family val="2"/>
      <scheme val="minor"/>
    </font>
    <font>
      <b/>
      <sz val="20"/>
      <color rgb="FFEAF2F8"/>
      <name val="Calibri"/>
      <scheme val="minor"/>
    </font>
    <font>
      <sz val="11"/>
      <color rgb="FFA9C4D6"/>
      <name val="Calibri"/>
      <scheme val="minor"/>
    </font>
    <font>
      <b/>
      <sz val="9"/>
      <color rgb="FF5A7A8C"/>
      <name val="Calibri"/>
      <family val="2"/>
      <scheme val="minor"/>
    </font>
    <font>
      <b/>
      <sz val="20"/>
      <color rgb="FF20639B"/>
      <name val="Calibri"/>
      <family val="2"/>
      <scheme val="minor"/>
    </font>
    <font>
      <sz val="8"/>
      <color rgb="FF8AA0AE"/>
      <name val="Calibri"/>
      <family val="2"/>
      <scheme val="minor"/>
    </font>
    <font>
      <b/>
      <sz val="20"/>
      <color rgb="FFED553B"/>
      <name val="Calibri"/>
      <family val="2"/>
      <scheme val="minor"/>
    </font>
    <font>
      <b/>
      <sz val="20"/>
      <color rgb="FF3CAEA3"/>
      <name val="Calibri"/>
      <family val="2"/>
      <scheme val="minor"/>
    </font>
    <font>
      <b/>
      <sz val="20"/>
      <color rgb="FF173F5F"/>
      <name val="Calibri"/>
      <family val="2"/>
      <scheme val="minor"/>
    </font>
  </fonts>
  <fills count="9">
    <fill>
      <patternFill patternType="none"/>
    </fill>
    <fill>
      <patternFill patternType="gray125"/>
    </fill>
    <fill>
      <patternFill patternType="solid">
        <fgColor rgb="FF302014"/>
        <bgColor indexed="64"/>
      </patternFill>
    </fill>
    <fill>
      <patternFill patternType="solid">
        <fgColor rgb="FF442D1C"/>
        <bgColor indexed="64"/>
      </patternFill>
    </fill>
    <fill>
      <patternFill patternType="solid">
        <fgColor rgb="FFF7F2EA"/>
        <bgColor indexed="64"/>
      </patternFill>
    </fill>
    <fill>
      <patternFill patternType="solid">
        <fgColor rgb="FFD9C3A0"/>
        <bgColor indexed="64"/>
      </patternFill>
    </fill>
    <fill>
      <patternFill patternType="solid">
        <fgColor rgb="FFDCE7EE"/>
        <bgColor indexed="64"/>
      </patternFill>
    </fill>
    <fill>
      <patternFill patternType="solid">
        <fgColor rgb="FF173F5F"/>
        <bgColor indexed="64"/>
      </patternFill>
    </fill>
    <fill>
      <patternFill patternType="solid">
        <fgColor rgb="FFFFFFFF"/>
        <bgColor indexed="64"/>
      </patternFill>
    </fill>
  </fills>
  <borders count="17">
    <border>
      <left/>
      <right/>
      <top/>
      <bottom/>
      <diagonal/>
    </border>
    <border>
      <left/>
      <right/>
      <top style="thin">
        <color rgb="FFE0D5C4"/>
      </top>
      <bottom/>
      <diagonal/>
    </border>
    <border>
      <left/>
      <right/>
      <top/>
      <bottom style="thin">
        <color rgb="FFE0D5C4"/>
      </bottom>
      <diagonal/>
    </border>
    <border>
      <left style="thin">
        <color rgb="FFE0D5C4"/>
      </left>
      <right/>
      <top style="thin">
        <color rgb="FFE0D5C4"/>
      </top>
      <bottom/>
      <diagonal/>
    </border>
    <border>
      <left style="thin">
        <color rgb="FFE0D5C4"/>
      </left>
      <right/>
      <top/>
      <bottom/>
      <diagonal/>
    </border>
    <border>
      <left style="thin">
        <color rgb="FFE0D5C4"/>
      </left>
      <right/>
      <top/>
      <bottom style="thin">
        <color rgb="FFE0D5C4"/>
      </bottom>
      <diagonal/>
    </border>
    <border>
      <left/>
      <right style="thin">
        <color rgb="FFE0D5C4"/>
      </right>
      <top style="thin">
        <color rgb="FFE0D5C4"/>
      </top>
      <bottom/>
      <diagonal/>
    </border>
    <border>
      <left/>
      <right style="thin">
        <color rgb="FFE0D5C4"/>
      </right>
      <top/>
      <bottom/>
      <diagonal/>
    </border>
    <border>
      <left/>
      <right style="thin">
        <color rgb="FFE0D5C4"/>
      </right>
      <top/>
      <bottom style="thin">
        <color rgb="FFE0D5C4"/>
      </bottom>
      <diagonal/>
    </border>
    <border>
      <left/>
      <right/>
      <top style="thin">
        <color rgb="FFC2D4E0"/>
      </top>
      <bottom/>
      <diagonal/>
    </border>
    <border>
      <left/>
      <right/>
      <top/>
      <bottom style="thin">
        <color rgb="FFC2D4E0"/>
      </bottom>
      <diagonal/>
    </border>
    <border>
      <left style="thin">
        <color rgb="FFC2D4E0"/>
      </left>
      <right/>
      <top style="thin">
        <color rgb="FFC2D4E0"/>
      </top>
      <bottom/>
      <diagonal/>
    </border>
    <border>
      <left style="thin">
        <color rgb="FFC2D4E0"/>
      </left>
      <right/>
      <top/>
      <bottom/>
      <diagonal/>
    </border>
    <border>
      <left style="thin">
        <color rgb="FFC2D4E0"/>
      </left>
      <right/>
      <top/>
      <bottom style="thin">
        <color rgb="FFC2D4E0"/>
      </bottom>
      <diagonal/>
    </border>
    <border>
      <left/>
      <right style="thin">
        <color rgb="FFC2D4E0"/>
      </right>
      <top style="thin">
        <color rgb="FFC2D4E0"/>
      </top>
      <bottom/>
      <diagonal/>
    </border>
    <border>
      <left/>
      <right style="thin">
        <color rgb="FFC2D4E0"/>
      </right>
      <top/>
      <bottom/>
      <diagonal/>
    </border>
    <border>
      <left/>
      <right style="thin">
        <color rgb="FFC2D4E0"/>
      </right>
      <top/>
      <bottom style="thin">
        <color rgb="FFC2D4E0"/>
      </bottom>
      <diagonal/>
    </border>
  </borders>
  <cellStyleXfs count="1">
    <xf numFmtId="0" fontId="0" fillId="0" borderId="0"/>
  </cellStyleXfs>
  <cellXfs count="57">
    <xf numFmtId="0" fontId="0" fillId="0" borderId="0" xfId="0"/>
    <xf numFmtId="0" fontId="1" fillId="2" borderId="0" xfId="0" applyFont="1" applyFill="1"/>
    <xf numFmtId="3" fontId="0" fillId="0" borderId="0" xfId="0" applyNumberFormat="1"/>
    <xf numFmtId="10" fontId="0" fillId="0" borderId="0" xfId="0" applyNumberFormat="1"/>
    <xf numFmtId="17" fontId="0" fillId="0" borderId="0" xfId="0" applyNumberFormat="1"/>
    <xf numFmtId="0" fontId="2" fillId="3" borderId="0" xfId="0" applyFont="1" applyFill="1"/>
    <xf numFmtId="0" fontId="0" fillId="3" borderId="0" xfId="0" applyFill="1"/>
    <xf numFmtId="3" fontId="0" fillId="3" borderId="0" xfId="0" applyNumberFormat="1" applyFill="1"/>
    <xf numFmtId="164" fontId="0" fillId="0" borderId="0" xfId="0" applyNumberFormat="1"/>
    <xf numFmtId="164" fontId="0" fillId="3" borderId="0" xfId="0" applyNumberFormat="1" applyFill="1"/>
    <xf numFmtId="165" fontId="0" fillId="0" borderId="0" xfId="0" applyNumberFormat="1"/>
    <xf numFmtId="0" fontId="3" fillId="2" borderId="0" xfId="0" applyFont="1" applyFill="1" applyAlignment="1">
      <alignment horizontal="left"/>
    </xf>
    <xf numFmtId="0" fontId="4" fillId="2" borderId="0" xfId="0" applyFont="1" applyFill="1" applyAlignment="1">
      <alignment horizontal="left"/>
    </xf>
    <xf numFmtId="0" fontId="0" fillId="4" borderId="1" xfId="0" applyFill="1" applyBorder="1"/>
    <xf numFmtId="3" fontId="0" fillId="4" borderId="0" xfId="0" applyNumberFormat="1" applyFill="1" applyBorder="1"/>
    <xf numFmtId="0" fontId="0" fillId="4" borderId="0" xfId="0" applyFill="1" applyBorder="1"/>
    <xf numFmtId="0" fontId="0" fillId="4" borderId="2" xfId="0" applyFill="1" applyBorder="1"/>
    <xf numFmtId="0" fontId="0" fillId="4" borderId="6" xfId="0" applyFill="1" applyBorder="1"/>
    <xf numFmtId="0" fontId="0" fillId="4" borderId="8" xfId="0" applyFill="1" applyBorder="1"/>
    <xf numFmtId="0" fontId="5" fillId="4" borderId="3" xfId="0" applyFont="1" applyFill="1" applyBorder="1" applyAlignment="1">
      <alignment horizontal="left" vertical="center" indent="1"/>
    </xf>
    <xf numFmtId="3" fontId="6" fillId="4" borderId="4" xfId="0" applyNumberFormat="1" applyFont="1" applyFill="1" applyBorder="1" applyAlignment="1">
      <alignment horizontal="left" vertical="center" indent="1"/>
    </xf>
    <xf numFmtId="0" fontId="7" fillId="4" borderId="5" xfId="0" applyFont="1" applyFill="1" applyBorder="1" applyAlignment="1">
      <alignment horizontal="left" vertical="top" indent="1"/>
    </xf>
    <xf numFmtId="3" fontId="8" fillId="4" borderId="4" xfId="0" applyNumberFormat="1" applyFont="1" applyFill="1" applyBorder="1" applyAlignment="1">
      <alignment horizontal="left" vertical="center" indent="1"/>
    </xf>
    <xf numFmtId="165" fontId="0" fillId="4" borderId="0" xfId="0" applyNumberFormat="1" applyFill="1" applyBorder="1"/>
    <xf numFmtId="165" fontId="9" fillId="4" borderId="4" xfId="0" applyNumberFormat="1" applyFont="1" applyFill="1" applyBorder="1" applyAlignment="1">
      <alignment horizontal="left" vertical="center" indent="1"/>
    </xf>
    <xf numFmtId="0" fontId="0" fillId="4" borderId="7" xfId="0" applyFill="1" applyBorder="1"/>
    <xf numFmtId="0" fontId="10" fillId="4" borderId="4" xfId="0" applyFont="1" applyFill="1" applyBorder="1" applyAlignment="1">
      <alignment horizontal="left" vertical="center" indent="1"/>
    </xf>
    <xf numFmtId="0" fontId="0" fillId="5" borderId="0" xfId="0" applyFill="1"/>
    <xf numFmtId="0" fontId="3" fillId="2" borderId="0" xfId="0" applyFont="1" applyFill="1" applyAlignment="1">
      <alignment horizontal="center"/>
    </xf>
    <xf numFmtId="0" fontId="4" fillId="2" borderId="0" xfId="0" applyFont="1" applyFill="1" applyAlignment="1">
      <alignment horizont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4" borderId="3" xfId="0" applyFont="1" applyFill="1" applyBorder="1" applyAlignment="1">
      <alignment vertical="center" indent="1"/>
    </xf>
    <xf numFmtId="3" fontId="6" fillId="4" borderId="4" xfId="0" applyNumberFormat="1" applyFont="1" applyFill="1" applyBorder="1" applyAlignment="1">
      <alignment vertical="center" indent="1"/>
    </xf>
    <xf numFmtId="0" fontId="7" fillId="4" borderId="5" xfId="0" applyFont="1" applyFill="1" applyBorder="1" applyAlignment="1">
      <alignment vertical="top" indent="1"/>
    </xf>
    <xf numFmtId="3" fontId="8" fillId="4" borderId="4" xfId="0" applyNumberFormat="1" applyFont="1" applyFill="1" applyBorder="1" applyAlignment="1">
      <alignment vertical="center" indent="1"/>
    </xf>
    <xf numFmtId="165" fontId="9" fillId="4" borderId="4" xfId="0" applyNumberFormat="1" applyFont="1" applyFill="1" applyBorder="1" applyAlignment="1">
      <alignment vertical="center" indent="1"/>
    </xf>
    <xf numFmtId="0" fontId="10" fillId="4" borderId="4" xfId="0" applyFont="1" applyFill="1" applyBorder="1" applyAlignment="1">
      <alignment vertical="center" indent="1"/>
    </xf>
    <xf numFmtId="0" fontId="0" fillId="6" borderId="0" xfId="0" applyFill="1"/>
    <xf numFmtId="0" fontId="11" fillId="7" borderId="0" xfId="0" applyFont="1" applyFill="1" applyAlignment="1">
      <alignment horizontal="center"/>
    </xf>
    <xf numFmtId="0" fontId="12" fillId="7" borderId="0" xfId="0" applyFont="1" applyFill="1" applyAlignment="1">
      <alignment horizontal="center"/>
    </xf>
    <xf numFmtId="0" fontId="11" fillId="7" borderId="0" xfId="0" applyFont="1" applyFill="1" applyAlignment="1">
      <alignment horizontal="center" vertical="center"/>
    </xf>
    <xf numFmtId="0" fontId="12" fillId="7" borderId="0" xfId="0" applyFont="1" applyFill="1" applyAlignment="1">
      <alignment horizontal="center" vertical="center"/>
    </xf>
    <xf numFmtId="0" fontId="0" fillId="8" borderId="9" xfId="0" applyFill="1" applyBorder="1"/>
    <xf numFmtId="3" fontId="0" fillId="8" borderId="0" xfId="0" applyNumberFormat="1" applyFill="1" applyBorder="1"/>
    <xf numFmtId="0" fontId="0" fillId="8" borderId="0" xfId="0" applyFill="1" applyBorder="1"/>
    <xf numFmtId="0" fontId="0" fillId="8" borderId="10" xfId="0" applyFill="1" applyBorder="1"/>
    <xf numFmtId="0" fontId="0" fillId="8" borderId="14" xfId="0" applyFill="1" applyBorder="1"/>
    <xf numFmtId="0" fontId="0" fillId="8" borderId="16" xfId="0" applyFill="1" applyBorder="1"/>
    <xf numFmtId="0" fontId="13" fillId="8" borderId="11" xfId="0" applyFont="1" applyFill="1" applyBorder="1" applyAlignment="1">
      <alignment vertical="center" indent="1"/>
    </xf>
    <xf numFmtId="3" fontId="14" fillId="8" borderId="12" xfId="0" applyNumberFormat="1" applyFont="1" applyFill="1" applyBorder="1" applyAlignment="1">
      <alignment vertical="center" indent="1"/>
    </xf>
    <xf numFmtId="0" fontId="15" fillId="8" borderId="13" xfId="0" applyFont="1" applyFill="1" applyBorder="1" applyAlignment="1">
      <alignment vertical="top" indent="1"/>
    </xf>
    <xf numFmtId="3" fontId="16" fillId="8" borderId="12" xfId="0" applyNumberFormat="1" applyFont="1" applyFill="1" applyBorder="1" applyAlignment="1">
      <alignment vertical="center" indent="1"/>
    </xf>
    <xf numFmtId="165" fontId="0" fillId="8" borderId="0" xfId="0" applyNumberFormat="1" applyFill="1" applyBorder="1"/>
    <xf numFmtId="165" fontId="17" fillId="8" borderId="12" xfId="0" applyNumberFormat="1" applyFont="1" applyFill="1" applyBorder="1" applyAlignment="1">
      <alignment vertical="center" indent="1"/>
    </xf>
    <xf numFmtId="0" fontId="0" fillId="8" borderId="15" xfId="0" applyFill="1" applyBorder="1"/>
    <xf numFmtId="0" fontId="18" fillId="8" borderId="12" xfId="0" applyFont="1" applyFill="1" applyBorder="1" applyAlignment="1">
      <alignment vertical="center" indent="1"/>
    </xf>
  </cellXfs>
  <cellStyles count="1">
    <cellStyle name="Normal" xfId="0" builtinId="0"/>
  </cellStyles>
  <dxfs count="10">
    <dxf>
      <numFmt numFmtId="165" formatCode="0.0%"/>
    </dxf>
    <dxf>
      <numFmt numFmtId="22" formatCode="mmm\-yy"/>
    </dxf>
    <dxf>
      <font>
        <b/>
        <i val="0"/>
        <strike val="0"/>
        <condense val="0"/>
        <extend val="0"/>
        <outline val="0"/>
        <shadow val="0"/>
        <u val="none"/>
        <vertAlign val="baseline"/>
        <sz val="11"/>
        <color rgb="FFF5E8D8"/>
        <name val="Calibri"/>
        <family val="2"/>
        <scheme val="minor"/>
      </font>
      <fill>
        <patternFill patternType="solid">
          <fgColor indexed="64"/>
          <bgColor rgb="FF442D1C"/>
        </patternFill>
      </fill>
    </dxf>
    <dxf>
      <numFmt numFmtId="3" formatCode="#,##0"/>
    </dxf>
    <dxf>
      <numFmt numFmtId="3" formatCode="#,##0"/>
    </dxf>
    <dxf>
      <font>
        <b/>
        <i val="0"/>
        <strike val="0"/>
        <condense val="0"/>
        <extend val="0"/>
        <outline val="0"/>
        <shadow val="0"/>
        <u val="none"/>
        <vertAlign val="baseline"/>
        <sz val="10"/>
        <color rgb="FFF5E8D8"/>
        <name val="Calibri"/>
        <family val="2"/>
        <scheme val="minor"/>
      </font>
      <fill>
        <patternFill patternType="solid">
          <fgColor indexed="64"/>
          <bgColor rgb="FF302014"/>
        </patternFill>
      </fill>
    </dxf>
    <dxf>
      <numFmt numFmtId="22" formatCode="mmm\-yy"/>
    </dxf>
    <dxf>
      <font>
        <b/>
        <i val="0"/>
        <strike val="0"/>
        <condense val="0"/>
        <extend val="0"/>
        <outline val="0"/>
        <shadow val="0"/>
        <u val="none"/>
        <vertAlign val="baseline"/>
        <sz val="11"/>
        <color rgb="FFF5E8D8"/>
        <name val="Calibri"/>
        <family val="2"/>
        <scheme val="minor"/>
      </font>
      <fill>
        <patternFill patternType="solid">
          <fgColor indexed="64"/>
          <bgColor rgb="FF442D1C"/>
        </patternFill>
      </fill>
    </dxf>
    <dxf>
      <numFmt numFmtId="3" formatCode="#,##0"/>
      <fill>
        <patternFill patternType="solid">
          <fgColor indexed="64"/>
          <bgColor rgb="FF442D1C"/>
        </patternFill>
      </fill>
    </dxf>
    <dxf>
      <fill>
        <patternFill patternType="solid">
          <fgColor indexed="64"/>
          <bgColor rgb="FF442D1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rgbClr val="FF0000"/>
                </a:solidFill>
              </a:defRPr>
            </a:pPr>
            <a:r>
              <a:rPr lang="en-US">
                <a:solidFill>
                  <a:srgbClr val="FF0000"/>
                </a:solidFill>
              </a:rPr>
              <a:t>Monthly</a:t>
            </a:r>
            <a:r>
              <a:rPr lang="en-US" baseline="0">
                <a:solidFill>
                  <a:srgbClr val="FF0000"/>
                </a:solidFill>
              </a:rPr>
              <a:t> Trend</a:t>
            </a:r>
          </a:p>
        </c:rich>
      </c:tx>
      <c:overlay val="0"/>
    </c:title>
    <c:autoTitleDeleted val="0"/>
    <c:plotArea>
      <c:layout/>
      <c:lineChart>
        <c:grouping val="standard"/>
        <c:varyColors val="0"/>
        <c:ser>
          <c:idx val="0"/>
          <c:order val="0"/>
          <c:spPr>
            <a:ln w="38100">
              <a:solidFill>
                <a:srgbClr val="002060"/>
              </a:solidFill>
            </a:ln>
          </c:spPr>
          <c:cat>
            <c:numRef>
              <c:f>'Monthly Trend'!$A$2:$A$17</c:f>
              <c:numCache>
                <c:formatCode>mmm\-yy</c:formatCode>
                <c:ptCount val="1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numCache>
            </c:numRef>
          </c:cat>
          <c:val>
            <c:numRef>
              <c:f>'Monthly Trend'!$C$2:$C$17</c:f>
              <c:numCache>
                <c:formatCode>General</c:formatCode>
                <c:ptCount val="16"/>
                <c:pt idx="0">
                  <c:v>196</c:v>
                </c:pt>
                <c:pt idx="1">
                  <c:v>2723</c:v>
                </c:pt>
                <c:pt idx="2">
                  <c:v>41581</c:v>
                </c:pt>
                <c:pt idx="3">
                  <c:v>192885</c:v>
                </c:pt>
                <c:pt idx="4">
                  <c:v>137618</c:v>
                </c:pt>
                <c:pt idx="5">
                  <c:v>133145</c:v>
                </c:pt>
                <c:pt idx="6">
                  <c:v>167327</c:v>
                </c:pt>
                <c:pt idx="7">
                  <c:v>175564</c:v>
                </c:pt>
                <c:pt idx="8">
                  <c:v>163905</c:v>
                </c:pt>
                <c:pt idx="9">
                  <c:v>181802</c:v>
                </c:pt>
                <c:pt idx="10">
                  <c:v>274821</c:v>
                </c:pt>
                <c:pt idx="11">
                  <c:v>353343</c:v>
                </c:pt>
                <c:pt idx="12">
                  <c:v>411021</c:v>
                </c:pt>
                <c:pt idx="13">
                  <c:v>297465</c:v>
                </c:pt>
                <c:pt idx="14">
                  <c:v>282654</c:v>
                </c:pt>
                <c:pt idx="15">
                  <c:v>364156</c:v>
                </c:pt>
              </c:numCache>
            </c:numRef>
          </c:val>
          <c:smooth val="0"/>
          <c:extLst>
            <c:ext xmlns:c16="http://schemas.microsoft.com/office/drawing/2014/chart" uri="{C3380CC4-5D6E-409C-BE32-E72D297353CC}">
              <c16:uniqueId val="{00000001-283E-4EF0-AE7E-A850003C5490}"/>
            </c:ext>
          </c:extLst>
        </c:ser>
        <c:dLbls>
          <c:showLegendKey val="0"/>
          <c:showVal val="0"/>
          <c:showCatName val="0"/>
          <c:showSerName val="0"/>
          <c:showPercent val="0"/>
          <c:showBubbleSize val="0"/>
        </c:dLbls>
        <c:marker val="1"/>
        <c:smooth val="0"/>
        <c:axId val="399572432"/>
        <c:axId val="399565232"/>
      </c:lineChart>
      <c:dateAx>
        <c:axId val="399572432"/>
        <c:scaling>
          <c:orientation val="minMax"/>
        </c:scaling>
        <c:delete val="0"/>
        <c:axPos val="b"/>
        <c:numFmt formatCode="mmm\-yy" sourceLinked="1"/>
        <c:majorTickMark val="out"/>
        <c:minorTickMark val="none"/>
        <c:tickLblPos val="nextTo"/>
        <c:txPr>
          <a:bodyPr/>
          <a:lstStyle/>
          <a:p>
            <a:pPr>
              <a:defRPr>
                <a:ln>
                  <a:solidFill>
                    <a:schemeClr val="tx1"/>
                  </a:solidFill>
                </a:ln>
                <a:solidFill>
                  <a:schemeClr val="tx1"/>
                </a:solidFill>
              </a:defRPr>
            </a:pPr>
            <a:endParaRPr lang="en-NG"/>
          </a:p>
        </c:txPr>
        <c:crossAx val="399565232"/>
        <c:crosses val="autoZero"/>
        <c:auto val="1"/>
        <c:lblOffset val="100"/>
        <c:baseTimeUnit val="months"/>
      </c:dateAx>
      <c:valAx>
        <c:axId val="399565232"/>
        <c:scaling>
          <c:orientation val="minMax"/>
        </c:scaling>
        <c:delete val="0"/>
        <c:axPos val="l"/>
        <c:majorGridlines/>
        <c:numFmt formatCode="General" sourceLinked="1"/>
        <c:majorTickMark val="out"/>
        <c:minorTickMark val="none"/>
        <c:tickLblPos val="nextTo"/>
        <c:txPr>
          <a:bodyPr/>
          <a:lstStyle/>
          <a:p>
            <a:pPr>
              <a:defRPr>
                <a:ln>
                  <a:solidFill>
                    <a:schemeClr val="tx1"/>
                  </a:solidFill>
                </a:ln>
                <a:solidFill>
                  <a:schemeClr val="tx1"/>
                </a:solidFill>
              </a:defRPr>
            </a:pPr>
            <a:endParaRPr lang="en-NG"/>
          </a:p>
        </c:txPr>
        <c:crossAx val="399572432"/>
        <c:crosses val="autoZero"/>
        <c:crossBetween val="between"/>
      </c:valAx>
      <c:spPr>
        <a:solidFill>
          <a:schemeClr val="bg2"/>
        </a:solidFill>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173F5F"/>
                </a:solidFill>
              </a:defRPr>
            </a:pPr>
            <a:r>
              <a:rPr lang="en-US"/>
              <a:t>Monthly Trend</a:t>
            </a:r>
          </a:p>
        </c:rich>
      </c:tx>
      <c:overlay val="0"/>
    </c:title>
    <c:autoTitleDeleted val="0"/>
    <c:plotArea>
      <c:layout/>
      <c:lineChart>
        <c:grouping val="standard"/>
        <c:varyColors val="0"/>
        <c:ser>
          <c:idx val="0"/>
          <c:order val="0"/>
          <c:tx>
            <c:strRef>
              <c:f>'Chart 1'!$Q$1</c:f>
              <c:strCache>
                <c:ptCount val="1"/>
                <c:pt idx="0">
                  <c:v>New Deaths</c:v>
                </c:pt>
              </c:strCache>
            </c:strRef>
          </c:tx>
          <c:spPr>
            <a:ln>
              <a:solidFill>
                <a:srgbClr val="20639B"/>
              </a:solidFill>
              <a:prstDash val="solid"/>
            </a:ln>
          </c:spPr>
          <c:cat>
            <c:numRef>
              <c:f>'Chart 1'!$P$2:$P$17</c:f>
              <c:numCache>
                <c:formatCode>mmm\-yy</c:formatCode>
                <c:ptCount val="1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numCache>
            </c:numRef>
          </c:cat>
          <c:val>
            <c:numRef>
              <c:f>'Chart 1'!$Q$2:$Q$17</c:f>
              <c:numCache>
                <c:formatCode>General</c:formatCode>
                <c:ptCount val="16"/>
                <c:pt idx="0">
                  <c:v>196</c:v>
                </c:pt>
                <c:pt idx="1">
                  <c:v>2723</c:v>
                </c:pt>
                <c:pt idx="2">
                  <c:v>41581</c:v>
                </c:pt>
                <c:pt idx="3">
                  <c:v>192885</c:v>
                </c:pt>
                <c:pt idx="4">
                  <c:v>137618</c:v>
                </c:pt>
                <c:pt idx="5">
                  <c:v>133145</c:v>
                </c:pt>
                <c:pt idx="6">
                  <c:v>167327</c:v>
                </c:pt>
                <c:pt idx="7">
                  <c:v>175564</c:v>
                </c:pt>
                <c:pt idx="8">
                  <c:v>163905</c:v>
                </c:pt>
                <c:pt idx="9">
                  <c:v>181802</c:v>
                </c:pt>
                <c:pt idx="10">
                  <c:v>274821</c:v>
                </c:pt>
                <c:pt idx="11">
                  <c:v>353343</c:v>
                </c:pt>
                <c:pt idx="12">
                  <c:v>411021</c:v>
                </c:pt>
                <c:pt idx="13">
                  <c:v>297465</c:v>
                </c:pt>
                <c:pt idx="14">
                  <c:v>282654</c:v>
                </c:pt>
                <c:pt idx="15">
                  <c:v>364156</c:v>
                </c:pt>
              </c:numCache>
            </c:numRef>
          </c:val>
          <c:smooth val="0"/>
          <c:extLst>
            <c:ext xmlns:c16="http://schemas.microsoft.com/office/drawing/2014/chart" uri="{C3380CC4-5D6E-409C-BE32-E72D297353CC}">
              <c16:uniqueId val="{00000000-E561-445D-B260-1D2EA825DE01}"/>
            </c:ext>
          </c:extLst>
        </c:ser>
        <c:dLbls>
          <c:showLegendKey val="0"/>
          <c:showVal val="0"/>
          <c:showCatName val="0"/>
          <c:showSerName val="0"/>
          <c:showPercent val="0"/>
          <c:showBubbleSize val="0"/>
        </c:dLbls>
        <c:marker val="1"/>
        <c:smooth val="0"/>
        <c:axId val="399572432"/>
        <c:axId val="399565232"/>
      </c:lineChart>
      <c:dateAx>
        <c:axId val="399572432"/>
        <c:scaling>
          <c:orientation val="minMax"/>
        </c:scaling>
        <c:delete val="0"/>
        <c:axPos val="b"/>
        <c:numFmt formatCode="mmm\-yy" sourceLinked="1"/>
        <c:majorTickMark val="out"/>
        <c:minorTickMark val="none"/>
        <c:tickLblPos val="nextTo"/>
        <c:txPr>
          <a:bodyPr/>
          <a:lstStyle/>
          <a:p>
            <a:pPr>
              <a:defRPr>
                <a:ln>
                  <a:solidFill>
                    <a:schemeClr val="tx1"/>
                  </a:solidFill>
                </a:ln>
                <a:solidFill>
                  <a:schemeClr val="tx1"/>
                </a:solidFill>
              </a:defRPr>
            </a:pPr>
            <a:endParaRPr lang="en-NG"/>
          </a:p>
        </c:txPr>
        <c:crossAx val="399565232"/>
        <c:crosses val="autoZero"/>
        <c:auto val="1"/>
        <c:lblOffset val="100"/>
        <c:baseTimeUnit val="months"/>
      </c:dateAx>
      <c:valAx>
        <c:axId val="399565232"/>
        <c:scaling>
          <c:orientation val="minMax"/>
        </c:scaling>
        <c:delete val="0"/>
        <c:axPos val="l"/>
        <c:majorGridlines/>
        <c:numFmt formatCode="General" sourceLinked="1"/>
        <c:majorTickMark val="out"/>
        <c:minorTickMark val="none"/>
        <c:tickLblPos val="nextTo"/>
        <c:txPr>
          <a:bodyPr/>
          <a:lstStyle/>
          <a:p>
            <a:pPr>
              <a:defRPr>
                <a:ln>
                  <a:solidFill>
                    <a:schemeClr val="tx1"/>
                  </a:solidFill>
                </a:ln>
                <a:solidFill>
                  <a:schemeClr val="tx1"/>
                </a:solidFill>
              </a:defRPr>
            </a:pPr>
            <a:endParaRPr lang="en-NG"/>
          </a:p>
        </c:txPr>
        <c:crossAx val="399572432"/>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173F5F"/>
                </a:solidFill>
                <a:latin typeface="+mn-lt"/>
                <a:ea typeface="+mn-ea"/>
                <a:cs typeface="+mn-cs"/>
              </a:defRPr>
            </a:pPr>
            <a:r>
              <a:rPr lang="en-US"/>
              <a:t>Continent: Total Cases vs Total Deaths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173F5F"/>
              </a:solidFill>
              <a:latin typeface="+mn-lt"/>
              <a:ea typeface="+mn-ea"/>
              <a:cs typeface="+mn-cs"/>
            </a:defRPr>
          </a:pPr>
          <a:endParaRPr lang="en-NG"/>
        </a:p>
      </c:txPr>
    </c:title>
    <c:autoTitleDeleted val="0"/>
    <c:plotArea>
      <c:layout/>
      <c:barChart>
        <c:barDir val="col"/>
        <c:grouping val="stacked"/>
        <c:varyColors val="0"/>
        <c:ser>
          <c:idx val="0"/>
          <c:order val="0"/>
          <c:tx>
            <c:strRef>
              <c:f>'Chart 1'!$V$1</c:f>
              <c:strCache>
                <c:ptCount val="1"/>
                <c:pt idx="0">
                  <c:v>Total Deaths</c:v>
                </c:pt>
              </c:strCache>
            </c:strRef>
          </c:tx>
          <c:spPr>
            <a:solidFill>
              <a:srgbClr val="ED553B"/>
            </a:solidFill>
            <a:ln>
              <a:noFill/>
            </a:ln>
            <a:effectLst>
              <a:outerShdw blurRad="57150" dist="19050" dir="5400000" algn="ctr" rotWithShape="0">
                <a:srgbClr val="000000">
                  <a:alpha val="63000"/>
                </a:srgbClr>
              </a:outerShdw>
            </a:effectLst>
          </c:spPr>
          <c:invertIfNegative val="0"/>
          <c:cat>
            <c:strRef>
              <c:f>'Chart 1'!$U$2:$U$7</c:f>
              <c:strCache>
                <c:ptCount val="6"/>
                <c:pt idx="0">
                  <c:v>Africa</c:v>
                </c:pt>
                <c:pt idx="1">
                  <c:v>Asia</c:v>
                </c:pt>
                <c:pt idx="2">
                  <c:v>Europe</c:v>
                </c:pt>
                <c:pt idx="3">
                  <c:v>North America</c:v>
                </c:pt>
                <c:pt idx="4">
                  <c:v>Oceania</c:v>
                </c:pt>
                <c:pt idx="5">
                  <c:v>South America</c:v>
                </c:pt>
              </c:strCache>
            </c:strRef>
          </c:cat>
          <c:val>
            <c:numRef>
              <c:f>'Chart 1'!$V$2:$V$7</c:f>
              <c:numCache>
                <c:formatCode>General</c:formatCode>
                <c:ptCount val="6"/>
                <c:pt idx="0">
                  <c:v>121784</c:v>
                </c:pt>
                <c:pt idx="1">
                  <c:v>520286</c:v>
                </c:pt>
                <c:pt idx="2">
                  <c:v>1016750</c:v>
                </c:pt>
                <c:pt idx="3">
                  <c:v>847942</c:v>
                </c:pt>
                <c:pt idx="4">
                  <c:v>1046</c:v>
                </c:pt>
                <c:pt idx="5">
                  <c:v>672415</c:v>
                </c:pt>
              </c:numCache>
            </c:numRef>
          </c:val>
          <c:extLst>
            <c:ext xmlns:c16="http://schemas.microsoft.com/office/drawing/2014/chart" uri="{C3380CC4-5D6E-409C-BE32-E72D297353CC}">
              <c16:uniqueId val="{00000000-580B-44B0-8830-2FA32868F0B7}"/>
            </c:ext>
          </c:extLst>
        </c:ser>
        <c:ser>
          <c:idx val="1"/>
          <c:order val="1"/>
          <c:tx>
            <c:strRef>
              <c:f>'Chart 1'!$W$1</c:f>
              <c:strCache>
                <c:ptCount val="1"/>
                <c:pt idx="0">
                  <c:v>Total Cases</c:v>
                </c:pt>
              </c:strCache>
            </c:strRef>
          </c:tx>
          <c:spPr>
            <a:solidFill>
              <a:srgbClr val="3CAEA3"/>
            </a:solidFill>
            <a:ln>
              <a:noFill/>
            </a:ln>
            <a:effectLst>
              <a:outerShdw blurRad="57150" dist="19050" dir="5400000" algn="ctr" rotWithShape="0">
                <a:srgbClr val="000000">
                  <a:alpha val="63000"/>
                </a:srgbClr>
              </a:outerShdw>
            </a:effectLst>
          </c:spPr>
          <c:invertIfNegative val="0"/>
          <c:cat>
            <c:strRef>
              <c:f>'Chart 1'!$U$2:$U$7</c:f>
              <c:strCache>
                <c:ptCount val="6"/>
                <c:pt idx="0">
                  <c:v>Africa</c:v>
                </c:pt>
                <c:pt idx="1">
                  <c:v>Asia</c:v>
                </c:pt>
                <c:pt idx="2">
                  <c:v>Europe</c:v>
                </c:pt>
                <c:pt idx="3">
                  <c:v>North America</c:v>
                </c:pt>
                <c:pt idx="4">
                  <c:v>Oceania</c:v>
                </c:pt>
                <c:pt idx="5">
                  <c:v>South America</c:v>
                </c:pt>
              </c:strCache>
            </c:strRef>
          </c:cat>
          <c:val>
            <c:numRef>
              <c:f>'Chart 1'!$W$2:$W$7</c:f>
              <c:numCache>
                <c:formatCode>General</c:formatCode>
                <c:ptCount val="6"/>
                <c:pt idx="0">
                  <c:v>4557699</c:v>
                </c:pt>
                <c:pt idx="1">
                  <c:v>39526308</c:v>
                </c:pt>
                <c:pt idx="2">
                  <c:v>44863478</c:v>
                </c:pt>
                <c:pt idx="3">
                  <c:v>37529488</c:v>
                </c:pt>
                <c:pt idx="4">
                  <c:v>43570</c:v>
                </c:pt>
                <c:pt idx="5">
                  <c:v>24878216</c:v>
                </c:pt>
              </c:numCache>
            </c:numRef>
          </c:val>
          <c:extLst>
            <c:ext xmlns:c16="http://schemas.microsoft.com/office/drawing/2014/chart" uri="{C3380CC4-5D6E-409C-BE32-E72D297353CC}">
              <c16:uniqueId val="{00000001-580B-44B0-8830-2FA32868F0B7}"/>
            </c:ext>
          </c:extLst>
        </c:ser>
        <c:dLbls>
          <c:showLegendKey val="0"/>
          <c:showVal val="0"/>
          <c:showCatName val="0"/>
          <c:showSerName val="0"/>
          <c:showPercent val="0"/>
          <c:showBubbleSize val="0"/>
        </c:dLbls>
        <c:gapWidth val="150"/>
        <c:overlap val="100"/>
        <c:axId val="406251984"/>
        <c:axId val="406254504"/>
      </c:barChart>
      <c:catAx>
        <c:axId val="4062519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Continent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6254504"/>
        <c:crosses val="autoZero"/>
        <c:auto val="1"/>
        <c:lblAlgn val="ctr"/>
        <c:lblOffset val="100"/>
        <c:noMultiLvlLbl val="0"/>
      </c:catAx>
      <c:valAx>
        <c:axId val="406254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Cases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6251984"/>
        <c:crosses val="autoZero"/>
        <c:crossBetween val="between"/>
      </c:valAx>
      <c:spPr>
        <a:solidFill>
          <a:srgbClr val="FFFFFF"/>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173F5F"/>
                </a:solidFill>
              </a:defRPr>
            </a:pPr>
            <a:r>
              <a:rPr lang="en-US"/>
              <a:t>Top 10 Countries: Total Cases vs Total Deaths</a:t>
            </a:r>
          </a:p>
        </c:rich>
      </c:tx>
      <c:overlay val="0"/>
    </c:title>
    <c:autoTitleDeleted val="0"/>
    <c:plotArea>
      <c:layout/>
      <c:barChart>
        <c:barDir val="col"/>
        <c:grouping val="clustered"/>
        <c:varyColors val="0"/>
        <c:ser>
          <c:idx val="0"/>
          <c:order val="0"/>
          <c:tx>
            <c:strRef>
              <c:f>'Chart 1'!$AA$1</c:f>
              <c:strCache>
                <c:ptCount val="1"/>
                <c:pt idx="0">
                  <c:v>Total Cases</c:v>
                </c:pt>
              </c:strCache>
            </c:strRef>
          </c:tx>
          <c:spPr>
            <a:solidFill>
              <a:srgbClr val="3CAEA3"/>
            </a:solidFill>
          </c:spPr>
          <c:invertIfNegative val="0"/>
          <c:cat>
            <c:strRef>
              <c:f>'Chart 1'!$Z$2:$Z$11</c:f>
              <c:strCache>
                <c:ptCount val="10"/>
                <c:pt idx="0">
                  <c:v>United States</c:v>
                </c:pt>
                <c:pt idx="1">
                  <c:v>Brazil</c:v>
                </c:pt>
                <c:pt idx="2">
                  <c:v>Mexico</c:v>
                </c:pt>
                <c:pt idx="3">
                  <c:v>India</c:v>
                </c:pt>
                <c:pt idx="4">
                  <c:v>United Kingdom</c:v>
                </c:pt>
                <c:pt idx="5">
                  <c:v>Italy</c:v>
                </c:pt>
                <c:pt idx="6">
                  <c:v>Russia</c:v>
                </c:pt>
                <c:pt idx="7">
                  <c:v>France</c:v>
                </c:pt>
                <c:pt idx="8">
                  <c:v>Germany</c:v>
                </c:pt>
                <c:pt idx="9">
                  <c:v>Spain</c:v>
                </c:pt>
              </c:strCache>
            </c:strRef>
          </c:cat>
          <c:val>
            <c:numRef>
              <c:f>'Chart 1'!$AA$2:$AA$11</c:f>
              <c:numCache>
                <c:formatCode>General</c:formatCode>
                <c:ptCount val="10"/>
                <c:pt idx="0">
                  <c:v>32346971</c:v>
                </c:pt>
                <c:pt idx="1">
                  <c:v>14659011</c:v>
                </c:pt>
                <c:pt idx="2">
                  <c:v>2344755</c:v>
                </c:pt>
                <c:pt idx="3">
                  <c:v>19164969</c:v>
                </c:pt>
                <c:pt idx="4">
                  <c:v>4432246</c:v>
                </c:pt>
                <c:pt idx="5">
                  <c:v>4022653</c:v>
                </c:pt>
                <c:pt idx="6">
                  <c:v>4750755</c:v>
                </c:pt>
                <c:pt idx="7">
                  <c:v>5677835</c:v>
                </c:pt>
                <c:pt idx="8">
                  <c:v>3405365</c:v>
                </c:pt>
                <c:pt idx="9">
                  <c:v>3524077</c:v>
                </c:pt>
              </c:numCache>
            </c:numRef>
          </c:val>
          <c:extLst>
            <c:ext xmlns:c16="http://schemas.microsoft.com/office/drawing/2014/chart" uri="{C3380CC4-5D6E-409C-BE32-E72D297353CC}">
              <c16:uniqueId val="{00000000-0CDC-4CE2-B902-C39B6E4C533D}"/>
            </c:ext>
          </c:extLst>
        </c:ser>
        <c:dLbls>
          <c:showLegendKey val="0"/>
          <c:showVal val="0"/>
          <c:showCatName val="0"/>
          <c:showSerName val="0"/>
          <c:showPercent val="0"/>
          <c:showBubbleSize val="0"/>
        </c:dLbls>
        <c:gapWidth val="150"/>
        <c:axId val="402735832"/>
        <c:axId val="402738712"/>
      </c:barChart>
      <c:barChart>
        <c:barDir val="col"/>
        <c:grouping val="clustered"/>
        <c:varyColors val="0"/>
        <c:ser>
          <c:idx val="1"/>
          <c:order val="1"/>
          <c:tx>
            <c:strRef>
              <c:f>'Chart 1'!$AB$1</c:f>
              <c:strCache>
                <c:ptCount val="1"/>
                <c:pt idx="0">
                  <c:v>Total Deaths</c:v>
                </c:pt>
              </c:strCache>
            </c:strRef>
          </c:tx>
          <c:spPr>
            <a:solidFill>
              <a:srgbClr val="ED553B"/>
            </a:solidFill>
          </c:spPr>
          <c:invertIfNegative val="0"/>
          <c:cat>
            <c:strRef>
              <c:f>'Chart 1'!$Z$2:$Z$11</c:f>
              <c:strCache>
                <c:ptCount val="10"/>
                <c:pt idx="0">
                  <c:v>United States</c:v>
                </c:pt>
                <c:pt idx="1">
                  <c:v>Brazil</c:v>
                </c:pt>
                <c:pt idx="2">
                  <c:v>Mexico</c:v>
                </c:pt>
                <c:pt idx="3">
                  <c:v>India</c:v>
                </c:pt>
                <c:pt idx="4">
                  <c:v>United Kingdom</c:v>
                </c:pt>
                <c:pt idx="5">
                  <c:v>Italy</c:v>
                </c:pt>
                <c:pt idx="6">
                  <c:v>Russia</c:v>
                </c:pt>
                <c:pt idx="7">
                  <c:v>France</c:v>
                </c:pt>
                <c:pt idx="8">
                  <c:v>Germany</c:v>
                </c:pt>
                <c:pt idx="9">
                  <c:v>Spain</c:v>
                </c:pt>
              </c:strCache>
            </c:strRef>
          </c:cat>
          <c:val>
            <c:numRef>
              <c:f>'Chart 1'!$AB$2:$AB$11</c:f>
              <c:numCache>
                <c:formatCode>General</c:formatCode>
                <c:ptCount val="10"/>
                <c:pt idx="0">
                  <c:v>576232</c:v>
                </c:pt>
                <c:pt idx="1">
                  <c:v>403781</c:v>
                </c:pt>
                <c:pt idx="2">
                  <c:v>216907</c:v>
                </c:pt>
                <c:pt idx="3">
                  <c:v>211853</c:v>
                </c:pt>
                <c:pt idx="4">
                  <c:v>127775</c:v>
                </c:pt>
                <c:pt idx="5">
                  <c:v>120807</c:v>
                </c:pt>
                <c:pt idx="6">
                  <c:v>108290</c:v>
                </c:pt>
                <c:pt idx="7">
                  <c:v>104675</c:v>
                </c:pt>
                <c:pt idx="8">
                  <c:v>83097</c:v>
                </c:pt>
                <c:pt idx="9">
                  <c:v>78216</c:v>
                </c:pt>
              </c:numCache>
            </c:numRef>
          </c:val>
          <c:extLst>
            <c:ext xmlns:c16="http://schemas.microsoft.com/office/drawing/2014/chart" uri="{C3380CC4-5D6E-409C-BE32-E72D297353CC}">
              <c16:uniqueId val="{00000001-0CDC-4CE2-B902-C39B6E4C533D}"/>
            </c:ext>
          </c:extLst>
        </c:ser>
        <c:dLbls>
          <c:showLegendKey val="0"/>
          <c:showVal val="0"/>
          <c:showCatName val="0"/>
          <c:showSerName val="0"/>
          <c:showPercent val="0"/>
          <c:showBubbleSize val="0"/>
        </c:dLbls>
        <c:gapWidth val="150"/>
        <c:axId val="118594168"/>
        <c:axId val="346471768"/>
      </c:barChart>
      <c:catAx>
        <c:axId val="402735832"/>
        <c:scaling>
          <c:orientation val="minMax"/>
        </c:scaling>
        <c:delete val="0"/>
        <c:axPos val="b"/>
        <c:title>
          <c:tx>
            <c:rich>
              <a:bodyPr/>
              <a:lstStyle/>
              <a:p>
                <a:pPr>
                  <a:defRPr/>
                </a:pPr>
                <a:r>
                  <a:rPr lang="en-US"/>
                  <a:t>Country</a:t>
                </a:r>
              </a:p>
            </c:rich>
          </c:tx>
          <c:overlay val="0"/>
        </c:title>
        <c:numFmt formatCode="General" sourceLinked="1"/>
        <c:majorTickMark val="out"/>
        <c:minorTickMark val="none"/>
        <c:tickLblPos val="nextTo"/>
        <c:crossAx val="402738712"/>
        <c:crosses val="autoZero"/>
        <c:auto val="1"/>
        <c:lblAlgn val="ctr"/>
        <c:lblOffset val="100"/>
        <c:noMultiLvlLbl val="0"/>
      </c:catAx>
      <c:valAx>
        <c:axId val="402738712"/>
        <c:scaling>
          <c:orientation val="minMax"/>
        </c:scaling>
        <c:delete val="0"/>
        <c:axPos val="l"/>
        <c:majorGridlines/>
        <c:title>
          <c:tx>
            <c:rich>
              <a:bodyPr/>
              <a:lstStyle/>
              <a:p>
                <a:pPr>
                  <a:defRPr/>
                </a:pPr>
                <a:r>
                  <a:rPr lang="en-US"/>
                  <a:t>Total Cases</a:t>
                </a:r>
              </a:p>
            </c:rich>
          </c:tx>
          <c:overlay val="0"/>
        </c:title>
        <c:numFmt formatCode="General" sourceLinked="1"/>
        <c:majorTickMark val="out"/>
        <c:minorTickMark val="none"/>
        <c:tickLblPos val="nextTo"/>
        <c:crossAx val="402735832"/>
        <c:crosses val="autoZero"/>
        <c:crossBetween val="between"/>
      </c:valAx>
      <c:valAx>
        <c:axId val="346471768"/>
        <c:scaling>
          <c:orientation val="minMax"/>
        </c:scaling>
        <c:delete val="0"/>
        <c:axPos val="r"/>
        <c:title>
          <c:tx>
            <c:rich>
              <a:bodyPr/>
              <a:lstStyle/>
              <a:p>
                <a:pPr>
                  <a:defRPr/>
                </a:pPr>
                <a:r>
                  <a:rPr lang="en-US"/>
                  <a:t>Total Deaths</a:t>
                </a:r>
              </a:p>
            </c:rich>
          </c:tx>
          <c:overlay val="0"/>
        </c:title>
        <c:numFmt formatCode="General" sourceLinked="1"/>
        <c:majorTickMark val="out"/>
        <c:minorTickMark val="none"/>
        <c:tickLblPos val="nextTo"/>
        <c:crossAx val="118594168"/>
        <c:crosses val="max"/>
        <c:crossBetween val="between"/>
      </c:valAx>
      <c:catAx>
        <c:axId val="118594168"/>
        <c:scaling>
          <c:orientation val="minMax"/>
        </c:scaling>
        <c:delete val="1"/>
        <c:axPos val="b"/>
        <c:numFmt formatCode="General" sourceLinked="1"/>
        <c:majorTickMark val="out"/>
        <c:minorTickMark val="none"/>
        <c:tickLblPos val="nextTo"/>
        <c:crossAx val="346471768"/>
        <c:crosses val="autoZero"/>
        <c:auto val="1"/>
        <c:lblAlgn val="ctr"/>
        <c:lblOffset val="100"/>
        <c:noMultiLvlLbl val="0"/>
      </c:catAx>
      <c:spPr>
        <a:solidFill>
          <a:srgbClr val="FFFFFF"/>
        </a:solidFill>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173F5F"/>
                </a:solidFill>
              </a:defRPr>
            </a:pPr>
            <a:r>
              <a:rPr lang="en-US"/>
              <a:t>Total Deaths by Continent</a:t>
            </a:r>
          </a:p>
        </c:rich>
      </c:tx>
      <c:overlay val="0"/>
    </c:title>
    <c:autoTitleDeleted val="0"/>
    <c:plotArea>
      <c:layout/>
      <c:barChart>
        <c:barDir val="bar"/>
        <c:grouping val="clustered"/>
        <c:varyColors val="0"/>
        <c:ser>
          <c:idx val="0"/>
          <c:order val="0"/>
          <c:tx>
            <c:strRef>
              <c:f>'Chart 1'!$V$1</c:f>
              <c:strCache>
                <c:ptCount val="1"/>
                <c:pt idx="0">
                  <c:v>Total Deaths</c:v>
                </c:pt>
              </c:strCache>
            </c:strRef>
          </c:tx>
          <c:spPr>
            <a:solidFill>
              <a:srgbClr val="20639B"/>
            </a:solidFill>
          </c:spPr>
          <c:invertIfNegative val="0"/>
          <c:cat>
            <c:strRef>
              <c:f>'Chart 1'!$U$2:$U$7</c:f>
              <c:strCache>
                <c:ptCount val="6"/>
                <c:pt idx="0">
                  <c:v>Africa</c:v>
                </c:pt>
                <c:pt idx="1">
                  <c:v>Asia</c:v>
                </c:pt>
                <c:pt idx="2">
                  <c:v>Europe</c:v>
                </c:pt>
                <c:pt idx="3">
                  <c:v>North America</c:v>
                </c:pt>
                <c:pt idx="4">
                  <c:v>Oceania</c:v>
                </c:pt>
                <c:pt idx="5">
                  <c:v>South America</c:v>
                </c:pt>
              </c:strCache>
            </c:strRef>
          </c:cat>
          <c:val>
            <c:numRef>
              <c:f>'Chart 1'!$V$2:$V$7</c:f>
              <c:numCache>
                <c:formatCode>General</c:formatCode>
                <c:ptCount val="6"/>
                <c:pt idx="0">
                  <c:v>121784</c:v>
                </c:pt>
                <c:pt idx="1">
                  <c:v>520286</c:v>
                </c:pt>
                <c:pt idx="2">
                  <c:v>1016750</c:v>
                </c:pt>
                <c:pt idx="3">
                  <c:v>847942</c:v>
                </c:pt>
                <c:pt idx="4">
                  <c:v>1046</c:v>
                </c:pt>
                <c:pt idx="5">
                  <c:v>672415</c:v>
                </c:pt>
              </c:numCache>
            </c:numRef>
          </c:val>
          <c:extLst>
            <c:ext xmlns:c16="http://schemas.microsoft.com/office/drawing/2014/chart" uri="{C3380CC4-5D6E-409C-BE32-E72D297353CC}">
              <c16:uniqueId val="{00000000-E791-472F-991E-6AEBEE37A57E}"/>
            </c:ext>
          </c:extLst>
        </c:ser>
        <c:dLbls>
          <c:showLegendKey val="0"/>
          <c:showVal val="0"/>
          <c:showCatName val="0"/>
          <c:showSerName val="0"/>
          <c:showPercent val="0"/>
          <c:showBubbleSize val="0"/>
        </c:dLbls>
        <c:gapWidth val="150"/>
        <c:axId val="402873360"/>
        <c:axId val="402872640"/>
      </c:barChart>
      <c:catAx>
        <c:axId val="402873360"/>
        <c:scaling>
          <c:orientation val="minMax"/>
        </c:scaling>
        <c:delete val="0"/>
        <c:axPos val="l"/>
        <c:title>
          <c:tx>
            <c:rich>
              <a:bodyPr/>
              <a:lstStyle/>
              <a:p>
                <a:pPr>
                  <a:defRPr/>
                </a:pPr>
                <a:r>
                  <a:rPr lang="en-US"/>
                  <a:t>Continent</a:t>
                </a:r>
              </a:p>
            </c:rich>
          </c:tx>
          <c:overlay val="0"/>
        </c:title>
        <c:numFmt formatCode="General" sourceLinked="1"/>
        <c:majorTickMark val="out"/>
        <c:minorTickMark val="none"/>
        <c:tickLblPos val="nextTo"/>
        <c:crossAx val="402872640"/>
        <c:crosses val="autoZero"/>
        <c:auto val="1"/>
        <c:lblAlgn val="ctr"/>
        <c:lblOffset val="100"/>
        <c:noMultiLvlLbl val="0"/>
      </c:catAx>
      <c:valAx>
        <c:axId val="402872640"/>
        <c:scaling>
          <c:orientation val="minMax"/>
        </c:scaling>
        <c:delete val="0"/>
        <c:axPos val="b"/>
        <c:majorGridlines/>
        <c:title>
          <c:tx>
            <c:rich>
              <a:bodyPr/>
              <a:lstStyle/>
              <a:p>
                <a:pPr>
                  <a:defRPr/>
                </a:pPr>
                <a:r>
                  <a:rPr lang="en-US"/>
                  <a:t>Total Deaths</a:t>
                </a:r>
              </a:p>
            </c:rich>
          </c:tx>
          <c:overlay val="0"/>
        </c:title>
        <c:numFmt formatCode="General" sourceLinked="1"/>
        <c:majorTickMark val="out"/>
        <c:minorTickMark val="none"/>
        <c:tickLblPos val="nextTo"/>
        <c:crossAx val="402873360"/>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173F5F"/>
                </a:solidFill>
              </a:defRPr>
            </a:pPr>
            <a:r>
              <a:rPr lang="en-US"/>
              <a:t>Continent Share of Global Deaths</a:t>
            </a:r>
          </a:p>
        </c:rich>
      </c:tx>
      <c:overlay val="0"/>
    </c:title>
    <c:autoTitleDeleted val="0"/>
    <c:plotArea>
      <c:layout/>
      <c:pieChart>
        <c:varyColors val="1"/>
        <c:ser>
          <c:idx val="0"/>
          <c:order val="0"/>
          <c:tx>
            <c:strRef>
              <c:f>'Chart 1'!$V$1</c:f>
              <c:strCache>
                <c:ptCount val="1"/>
                <c:pt idx="0">
                  <c:v>Total Deaths</c:v>
                </c:pt>
              </c:strCache>
            </c:strRef>
          </c:tx>
          <c:dLbls>
            <c:numFmt formatCode="0%" sourceLinked="0"/>
            <c:spPr>
              <a:noFill/>
              <a:ln>
                <a:noFill/>
              </a:ln>
              <a:effectLst/>
            </c:spPr>
            <c:txPr>
              <a:bodyPr wrap="square" lIns="38100" tIns="19050" rIns="38100" bIns="19050" anchor="ctr">
                <a:spAutoFit/>
              </a:bodyPr>
              <a:lstStyle/>
              <a:p>
                <a:pPr>
                  <a:defRPr sz="900" b="1">
                    <a:solidFill>
                      <a:srgbClr val="FFFFFF"/>
                    </a:solidFill>
                  </a:defRPr>
                </a:pPr>
                <a:endParaRPr lang="en-NG"/>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'Chart 1'!$U$2:$U$7</c:f>
              <c:strCache>
                <c:ptCount val="6"/>
                <c:pt idx="0">
                  <c:v>Africa</c:v>
                </c:pt>
                <c:pt idx="1">
                  <c:v>Asia</c:v>
                </c:pt>
                <c:pt idx="2">
                  <c:v>Europe</c:v>
                </c:pt>
                <c:pt idx="3">
                  <c:v>North America</c:v>
                </c:pt>
                <c:pt idx="4">
                  <c:v>Oceania</c:v>
                </c:pt>
                <c:pt idx="5">
                  <c:v>South America</c:v>
                </c:pt>
              </c:strCache>
            </c:strRef>
          </c:cat>
          <c:val>
            <c:numRef>
              <c:f>'Chart 1'!$V$2:$V$7</c:f>
              <c:numCache>
                <c:formatCode>General</c:formatCode>
                <c:ptCount val="6"/>
                <c:pt idx="0">
                  <c:v>121784</c:v>
                </c:pt>
                <c:pt idx="1">
                  <c:v>520286</c:v>
                </c:pt>
                <c:pt idx="2">
                  <c:v>1016750</c:v>
                </c:pt>
                <c:pt idx="3">
                  <c:v>847942</c:v>
                </c:pt>
                <c:pt idx="4">
                  <c:v>1046</c:v>
                </c:pt>
                <c:pt idx="5">
                  <c:v>672415</c:v>
                </c:pt>
              </c:numCache>
            </c:numRef>
          </c:val>
          <c:extLst>
            <c:ext xmlns:c16="http://schemas.microsoft.com/office/drawing/2014/chart" uri="{C3380CC4-5D6E-409C-BE32-E72D297353CC}">
              <c16:uniqueId val="{00000000-7203-4C51-A9F2-F0899D2C082F}"/>
            </c:ext>
          </c:extLst>
        </c:ser>
        <c:dLbls>
          <c:showLegendKey val="0"/>
          <c:showVal val="0"/>
          <c:showCatName val="0"/>
          <c:showSerName val="0"/>
          <c:showPercent val="0"/>
          <c:showBubbleSize val="0"/>
          <c:showLeaderLines val="0"/>
        </c:dLbls>
        <c:firstSliceAng val="0"/>
      </c:pieChart>
    </c:plotArea>
    <c:legend>
      <c:legendPos val="t"/>
      <c:layout>
        <c:manualLayout>
          <c:xMode val="edge"/>
          <c:yMode val="edge"/>
          <c:x val="4.2546584661991883E-2"/>
          <c:y val="0.12471083070452156"/>
          <c:w val="0.93149057860304774"/>
          <c:h val="0.14580789388708115"/>
        </c:manualLayout>
      </c:layout>
      <c:overlay val="0"/>
      <c:txPr>
        <a:bodyPr/>
        <a:lstStyle/>
        <a:p>
          <a:pPr rtl="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173F5F"/>
                </a:solidFill>
              </a:defRPr>
            </a:pPr>
            <a:r>
              <a:rPr lang="en-US"/>
              <a:t>Case Fatality Rate (CFR) — Top 10 Countries</a:t>
            </a:r>
          </a:p>
        </c:rich>
      </c:tx>
      <c:overlay val="0"/>
    </c:title>
    <c:autoTitleDeleted val="0"/>
    <c:plotArea>
      <c:layout/>
      <c:barChart>
        <c:barDir val="col"/>
        <c:grouping val="clustered"/>
        <c:varyColors val="0"/>
        <c:ser>
          <c:idx val="0"/>
          <c:order val="0"/>
          <c:tx>
            <c:strRef>
              <c:f>'Chart 1'!$AD$1</c:f>
              <c:strCache>
                <c:ptCount val="1"/>
                <c:pt idx="0">
                  <c:v>CFR</c:v>
                </c:pt>
              </c:strCache>
            </c:strRef>
          </c:tx>
          <c:spPr>
            <a:solidFill>
              <a:srgbClr val="3CAEA3"/>
            </a:solidFill>
          </c:spPr>
          <c:invertIfNegative val="0"/>
          <c:cat>
            <c:strRef>
              <c:f>'Chart 1'!$AC$2:$AC$11</c:f>
              <c:strCache>
                <c:ptCount val="10"/>
                <c:pt idx="0">
                  <c:v>United States</c:v>
                </c:pt>
                <c:pt idx="1">
                  <c:v>Brazil</c:v>
                </c:pt>
                <c:pt idx="2">
                  <c:v>Mexico</c:v>
                </c:pt>
                <c:pt idx="3">
                  <c:v>India</c:v>
                </c:pt>
                <c:pt idx="4">
                  <c:v>United Kingdom</c:v>
                </c:pt>
                <c:pt idx="5">
                  <c:v>Italy</c:v>
                </c:pt>
                <c:pt idx="6">
                  <c:v>Russia</c:v>
                </c:pt>
                <c:pt idx="7">
                  <c:v>France</c:v>
                </c:pt>
                <c:pt idx="8">
                  <c:v>Germany</c:v>
                </c:pt>
                <c:pt idx="9">
                  <c:v>Spain</c:v>
                </c:pt>
              </c:strCache>
            </c:strRef>
          </c:cat>
          <c:val>
            <c:numRef>
              <c:f>'Chart 1'!$AD$2:$AD$11</c:f>
              <c:numCache>
                <c:formatCode>0.0%</c:formatCode>
                <c:ptCount val="10"/>
                <c:pt idx="0">
                  <c:v>1.7814094556179619E-2</c:v>
                </c:pt>
                <c:pt idx="1">
                  <c:v>2.7544900539333794E-2</c:v>
                </c:pt>
                <c:pt idx="2">
                  <c:v>9.2507319528053036E-2</c:v>
                </c:pt>
                <c:pt idx="3">
                  <c:v>1.1054179111899425E-2</c:v>
                </c:pt>
                <c:pt idx="4">
                  <c:v>2.8828499140165054E-2</c:v>
                </c:pt>
                <c:pt idx="5">
                  <c:v>3.0031673127162595E-2</c:v>
                </c:pt>
                <c:pt idx="6">
                  <c:v>2.2794271647348683E-2</c:v>
                </c:pt>
                <c:pt idx="7">
                  <c:v>1.8435724180079202E-2</c:v>
                </c:pt>
                <c:pt idx="8">
                  <c:v>2.4401789529169413E-2</c:v>
                </c:pt>
                <c:pt idx="9">
                  <c:v>2.2194747731108033E-2</c:v>
                </c:pt>
              </c:numCache>
            </c:numRef>
          </c:val>
          <c:extLst>
            <c:ext xmlns:c16="http://schemas.microsoft.com/office/drawing/2014/chart" uri="{C3380CC4-5D6E-409C-BE32-E72D297353CC}">
              <c16:uniqueId val="{00000000-B8E9-489E-94EA-6EF087B5EE70}"/>
            </c:ext>
          </c:extLst>
        </c:ser>
        <c:dLbls>
          <c:showLegendKey val="0"/>
          <c:showVal val="0"/>
          <c:showCatName val="0"/>
          <c:showSerName val="0"/>
          <c:showPercent val="0"/>
          <c:showBubbleSize val="0"/>
        </c:dLbls>
        <c:gapWidth val="150"/>
        <c:axId val="397077128"/>
        <c:axId val="397079288"/>
      </c:barChart>
      <c:catAx>
        <c:axId val="397077128"/>
        <c:scaling>
          <c:orientation val="minMax"/>
        </c:scaling>
        <c:delete val="0"/>
        <c:axPos val="b"/>
        <c:title>
          <c:tx>
            <c:rich>
              <a:bodyPr/>
              <a:lstStyle/>
              <a:p>
                <a:pPr>
                  <a:defRPr/>
                </a:pPr>
                <a:r>
                  <a:rPr lang="en-US"/>
                  <a:t>Country</a:t>
                </a:r>
              </a:p>
            </c:rich>
          </c:tx>
          <c:overlay val="0"/>
        </c:title>
        <c:numFmt formatCode="General" sourceLinked="1"/>
        <c:majorTickMark val="out"/>
        <c:minorTickMark val="none"/>
        <c:tickLblPos val="nextTo"/>
        <c:crossAx val="397079288"/>
        <c:crosses val="autoZero"/>
        <c:auto val="1"/>
        <c:lblAlgn val="ctr"/>
        <c:lblOffset val="100"/>
        <c:noMultiLvlLbl val="0"/>
      </c:catAx>
      <c:valAx>
        <c:axId val="397079288"/>
        <c:scaling>
          <c:orientation val="minMax"/>
        </c:scaling>
        <c:delete val="0"/>
        <c:axPos val="l"/>
        <c:majorGridlines/>
        <c:title>
          <c:tx>
            <c:rich>
              <a:bodyPr/>
              <a:lstStyle/>
              <a:p>
                <a:pPr>
                  <a:defRPr/>
                </a:pPr>
                <a:r>
                  <a:rPr lang="en-US"/>
                  <a:t>CFR (%)</a:t>
                </a:r>
              </a:p>
            </c:rich>
          </c:tx>
          <c:overlay val="0"/>
        </c:title>
        <c:numFmt formatCode="0.0%" sourceLinked="1"/>
        <c:majorTickMark val="out"/>
        <c:minorTickMark val="none"/>
        <c:tickLblPos val="nextTo"/>
        <c:crossAx val="397077128"/>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302014"/>
                </a:solidFill>
              </a:defRPr>
            </a:pPr>
            <a:r>
              <a:rPr lang="en-US"/>
              <a:t>Monthly Trend</a:t>
            </a:r>
          </a:p>
        </c:rich>
      </c:tx>
      <c:overlay val="0"/>
    </c:title>
    <c:autoTitleDeleted val="0"/>
    <c:plotArea>
      <c:layout/>
      <c:lineChart>
        <c:grouping val="standard"/>
        <c:varyColors val="0"/>
        <c:ser>
          <c:idx val="0"/>
          <c:order val="0"/>
          <c:spPr>
            <a:ln w="38100">
              <a:solidFill>
                <a:srgbClr val="2E5E8C"/>
              </a:solidFill>
              <a:prstDash val="solid"/>
            </a:ln>
          </c:spPr>
          <c:cat>
            <c:numRef>
              <c:f>'Monthly Trend'!$A$2:$A$17</c:f>
              <c:numCache>
                <c:formatCode>mmm\-yy</c:formatCode>
                <c:ptCount val="1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numCache>
            </c:numRef>
          </c:cat>
          <c:val>
            <c:numRef>
              <c:f>'Monthly Trend'!$C$2:$C$17</c:f>
              <c:numCache>
                <c:formatCode>General</c:formatCode>
                <c:ptCount val="16"/>
                <c:pt idx="0">
                  <c:v>196</c:v>
                </c:pt>
                <c:pt idx="1">
                  <c:v>2723</c:v>
                </c:pt>
                <c:pt idx="2">
                  <c:v>41581</c:v>
                </c:pt>
                <c:pt idx="3">
                  <c:v>192885</c:v>
                </c:pt>
                <c:pt idx="4">
                  <c:v>137618</c:v>
                </c:pt>
                <c:pt idx="5">
                  <c:v>133145</c:v>
                </c:pt>
                <c:pt idx="6">
                  <c:v>167327</c:v>
                </c:pt>
                <c:pt idx="7">
                  <c:v>175564</c:v>
                </c:pt>
                <c:pt idx="8">
                  <c:v>163905</c:v>
                </c:pt>
                <c:pt idx="9">
                  <c:v>181802</c:v>
                </c:pt>
                <c:pt idx="10">
                  <c:v>274821</c:v>
                </c:pt>
                <c:pt idx="11">
                  <c:v>353343</c:v>
                </c:pt>
                <c:pt idx="12">
                  <c:v>411021</c:v>
                </c:pt>
                <c:pt idx="13">
                  <c:v>297465</c:v>
                </c:pt>
                <c:pt idx="14">
                  <c:v>282654</c:v>
                </c:pt>
                <c:pt idx="15">
                  <c:v>364156</c:v>
                </c:pt>
              </c:numCache>
            </c:numRef>
          </c:val>
          <c:smooth val="0"/>
          <c:extLst>
            <c:ext xmlns:c16="http://schemas.microsoft.com/office/drawing/2014/chart" uri="{C3380CC4-5D6E-409C-BE32-E72D297353CC}">
              <c16:uniqueId val="{00000000-C69F-451D-807A-8714AAA05A3E}"/>
            </c:ext>
          </c:extLst>
        </c:ser>
        <c:dLbls>
          <c:showLegendKey val="0"/>
          <c:showVal val="0"/>
          <c:showCatName val="0"/>
          <c:showSerName val="0"/>
          <c:showPercent val="0"/>
          <c:showBubbleSize val="0"/>
        </c:dLbls>
        <c:marker val="1"/>
        <c:smooth val="0"/>
        <c:axId val="399572432"/>
        <c:axId val="399565232"/>
      </c:lineChart>
      <c:dateAx>
        <c:axId val="399572432"/>
        <c:scaling>
          <c:orientation val="minMax"/>
        </c:scaling>
        <c:delete val="0"/>
        <c:axPos val="b"/>
        <c:numFmt formatCode="mmm\-yy" sourceLinked="1"/>
        <c:majorTickMark val="out"/>
        <c:minorTickMark val="none"/>
        <c:tickLblPos val="nextTo"/>
        <c:txPr>
          <a:bodyPr/>
          <a:lstStyle/>
          <a:p>
            <a:pPr>
              <a:defRPr>
                <a:ln>
                  <a:solidFill>
                    <a:schemeClr val="tx1"/>
                  </a:solidFill>
                </a:ln>
                <a:solidFill>
                  <a:schemeClr val="tx1"/>
                </a:solidFill>
              </a:defRPr>
            </a:pPr>
            <a:endParaRPr lang="en-NG"/>
          </a:p>
        </c:txPr>
        <c:crossAx val="399565232"/>
        <c:crosses val="autoZero"/>
        <c:auto val="1"/>
        <c:lblOffset val="100"/>
        <c:baseTimeUnit val="months"/>
      </c:dateAx>
      <c:valAx>
        <c:axId val="399565232"/>
        <c:scaling>
          <c:orientation val="minMax"/>
        </c:scaling>
        <c:delete val="0"/>
        <c:axPos val="l"/>
        <c:majorGridlines/>
        <c:numFmt formatCode="General" sourceLinked="1"/>
        <c:majorTickMark val="out"/>
        <c:minorTickMark val="none"/>
        <c:tickLblPos val="nextTo"/>
        <c:txPr>
          <a:bodyPr/>
          <a:lstStyle/>
          <a:p>
            <a:pPr>
              <a:defRPr>
                <a:ln>
                  <a:solidFill>
                    <a:schemeClr val="tx1"/>
                  </a:solidFill>
                </a:ln>
                <a:solidFill>
                  <a:schemeClr val="tx1"/>
                </a:solidFill>
              </a:defRPr>
            </a:pPr>
            <a:endParaRPr lang="en-NG"/>
          </a:p>
        </c:txPr>
        <c:crossAx val="399572432"/>
        <c:crosses val="autoZero"/>
        <c:crossBetween val="between"/>
      </c:valAx>
      <c:spPr>
        <a:solidFill>
          <a:srgbClr val="F7F2EA"/>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2EA"/>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a:t>Top 10 Countries: Total Cases vs Total Deaths</a:t>
            </a:r>
          </a:p>
        </c:rich>
      </c:tx>
      <c:overlay val="0"/>
    </c:title>
    <c:autoTitleDeleted val="0"/>
    <c:plotArea>
      <c:layout/>
      <c:barChart>
        <c:barDir val="col"/>
        <c:grouping val="clustered"/>
        <c:varyColors val="0"/>
        <c:ser>
          <c:idx val="0"/>
          <c:order val="0"/>
          <c:spPr>
            <a:solidFill>
              <a:srgbClr val="2A7FC4"/>
            </a:solidFill>
          </c:spPr>
          <c:invertIfNegative val="0"/>
          <c:cat>
            <c:strRef>
              <c:f>'Country Analysis'!$A$2:$A$11</c:f>
              <c:strCache>
                <c:ptCount val="10"/>
                <c:pt idx="0">
                  <c:v>United States</c:v>
                </c:pt>
                <c:pt idx="1">
                  <c:v>Brazil</c:v>
                </c:pt>
                <c:pt idx="2">
                  <c:v>Mexico</c:v>
                </c:pt>
                <c:pt idx="3">
                  <c:v>India</c:v>
                </c:pt>
                <c:pt idx="4">
                  <c:v>United Kingdom</c:v>
                </c:pt>
                <c:pt idx="5">
                  <c:v>Italy</c:v>
                </c:pt>
                <c:pt idx="6">
                  <c:v>Russia</c:v>
                </c:pt>
                <c:pt idx="7">
                  <c:v>France</c:v>
                </c:pt>
                <c:pt idx="8">
                  <c:v>Germany</c:v>
                </c:pt>
                <c:pt idx="9">
                  <c:v>Spain</c:v>
                </c:pt>
              </c:strCache>
            </c:strRef>
          </c:cat>
          <c:val>
            <c:numRef>
              <c:f>'Country Analysis'!$B$2:$B$11</c:f>
              <c:numCache>
                <c:formatCode>#,##0</c:formatCode>
                <c:ptCount val="10"/>
                <c:pt idx="0">
                  <c:v>32346971</c:v>
                </c:pt>
                <c:pt idx="1">
                  <c:v>14659011</c:v>
                </c:pt>
                <c:pt idx="2">
                  <c:v>2344755</c:v>
                </c:pt>
                <c:pt idx="3">
                  <c:v>19164969</c:v>
                </c:pt>
                <c:pt idx="4">
                  <c:v>4432246</c:v>
                </c:pt>
                <c:pt idx="5">
                  <c:v>4022653</c:v>
                </c:pt>
                <c:pt idx="6">
                  <c:v>4750755</c:v>
                </c:pt>
                <c:pt idx="7">
                  <c:v>5677835</c:v>
                </c:pt>
                <c:pt idx="8">
                  <c:v>3405365</c:v>
                </c:pt>
                <c:pt idx="9">
                  <c:v>3524077</c:v>
                </c:pt>
              </c:numCache>
            </c:numRef>
          </c:val>
          <c:extLst>
            <c:ext xmlns:c16="http://schemas.microsoft.com/office/drawing/2014/chart" uri="{C3380CC4-5D6E-409C-BE32-E72D297353CC}">
              <c16:uniqueId val="{00000000-6FB3-4655-B31A-ADB5412EC9D1}"/>
            </c:ext>
          </c:extLst>
        </c:ser>
        <c:dLbls>
          <c:showLegendKey val="0"/>
          <c:showVal val="0"/>
          <c:showCatName val="0"/>
          <c:showSerName val="0"/>
          <c:showPercent val="0"/>
          <c:showBubbleSize val="0"/>
        </c:dLbls>
        <c:gapWidth val="150"/>
        <c:axId val="402735832"/>
        <c:axId val="402738712"/>
      </c:barChart>
      <c:barChart>
        <c:barDir val="col"/>
        <c:grouping val="clustered"/>
        <c:varyColors val="0"/>
        <c:ser>
          <c:idx val="1"/>
          <c:order val="1"/>
          <c:spPr>
            <a:solidFill>
              <a:srgbClr val="B53028"/>
            </a:solidFill>
          </c:spPr>
          <c:invertIfNegative val="0"/>
          <c:cat>
            <c:strRef>
              <c:f>'Country Analysis'!$A$2:$A$11</c:f>
              <c:strCache>
                <c:ptCount val="10"/>
                <c:pt idx="0">
                  <c:v>United States</c:v>
                </c:pt>
                <c:pt idx="1">
                  <c:v>Brazil</c:v>
                </c:pt>
                <c:pt idx="2">
                  <c:v>Mexico</c:v>
                </c:pt>
                <c:pt idx="3">
                  <c:v>India</c:v>
                </c:pt>
                <c:pt idx="4">
                  <c:v>United Kingdom</c:v>
                </c:pt>
                <c:pt idx="5">
                  <c:v>Italy</c:v>
                </c:pt>
                <c:pt idx="6">
                  <c:v>Russia</c:v>
                </c:pt>
                <c:pt idx="7">
                  <c:v>France</c:v>
                </c:pt>
                <c:pt idx="8">
                  <c:v>Germany</c:v>
                </c:pt>
                <c:pt idx="9">
                  <c:v>Spain</c:v>
                </c:pt>
              </c:strCache>
            </c:strRef>
          </c:cat>
          <c:val>
            <c:numRef>
              <c:f>'Country Analysis'!$C$2:$C$11</c:f>
              <c:numCache>
                <c:formatCode>#,##0</c:formatCode>
                <c:ptCount val="10"/>
                <c:pt idx="0">
                  <c:v>576232</c:v>
                </c:pt>
                <c:pt idx="1">
                  <c:v>403781</c:v>
                </c:pt>
                <c:pt idx="2">
                  <c:v>216907</c:v>
                </c:pt>
                <c:pt idx="3">
                  <c:v>211853</c:v>
                </c:pt>
                <c:pt idx="4">
                  <c:v>127775</c:v>
                </c:pt>
                <c:pt idx="5">
                  <c:v>120807</c:v>
                </c:pt>
                <c:pt idx="6">
                  <c:v>108290</c:v>
                </c:pt>
                <c:pt idx="7">
                  <c:v>104675</c:v>
                </c:pt>
                <c:pt idx="8">
                  <c:v>83097</c:v>
                </c:pt>
                <c:pt idx="9">
                  <c:v>78216</c:v>
                </c:pt>
              </c:numCache>
            </c:numRef>
          </c:val>
          <c:extLst>
            <c:ext xmlns:c16="http://schemas.microsoft.com/office/drawing/2014/chart" uri="{C3380CC4-5D6E-409C-BE32-E72D297353CC}">
              <c16:uniqueId val="{00000001-6FB3-4655-B31A-ADB5412EC9D1}"/>
            </c:ext>
          </c:extLst>
        </c:ser>
        <c:dLbls>
          <c:showLegendKey val="0"/>
          <c:showVal val="0"/>
          <c:showCatName val="0"/>
          <c:showSerName val="0"/>
          <c:showPercent val="0"/>
          <c:showBubbleSize val="0"/>
        </c:dLbls>
        <c:gapWidth val="150"/>
        <c:axId val="118594168"/>
        <c:axId val="346471768"/>
      </c:barChart>
      <c:catAx>
        <c:axId val="402735832"/>
        <c:scaling>
          <c:orientation val="minMax"/>
        </c:scaling>
        <c:delete val="0"/>
        <c:axPos val="b"/>
        <c:title>
          <c:tx>
            <c:rich>
              <a:bodyPr/>
              <a:lstStyle/>
              <a:p>
                <a:pPr>
                  <a:defRPr/>
                </a:pPr>
                <a:r>
                  <a:rPr lang="en-US"/>
                  <a:t>Country</a:t>
                </a:r>
              </a:p>
            </c:rich>
          </c:tx>
          <c:overlay val="0"/>
        </c:title>
        <c:numFmt formatCode="General" sourceLinked="1"/>
        <c:majorTickMark val="out"/>
        <c:minorTickMark val="none"/>
        <c:tickLblPos val="nextTo"/>
        <c:crossAx val="402738712"/>
        <c:crosses val="autoZero"/>
        <c:auto val="1"/>
        <c:lblAlgn val="ctr"/>
        <c:lblOffset val="100"/>
        <c:noMultiLvlLbl val="0"/>
      </c:catAx>
      <c:valAx>
        <c:axId val="402738712"/>
        <c:scaling>
          <c:orientation val="minMax"/>
        </c:scaling>
        <c:delete val="0"/>
        <c:axPos val="l"/>
        <c:majorGridlines/>
        <c:title>
          <c:tx>
            <c:rich>
              <a:bodyPr/>
              <a:lstStyle/>
              <a:p>
                <a:pPr>
                  <a:defRPr/>
                </a:pPr>
                <a:r>
                  <a:rPr lang="en-US"/>
                  <a:t>Total Cases</a:t>
                </a:r>
              </a:p>
            </c:rich>
          </c:tx>
          <c:overlay val="0"/>
        </c:title>
        <c:numFmt formatCode="#,##0" sourceLinked="1"/>
        <c:majorTickMark val="out"/>
        <c:minorTickMark val="none"/>
        <c:tickLblPos val="nextTo"/>
        <c:crossAx val="402735832"/>
        <c:crosses val="autoZero"/>
        <c:crossBetween val="between"/>
      </c:valAx>
      <c:valAx>
        <c:axId val="346471768"/>
        <c:scaling>
          <c:orientation val="minMax"/>
        </c:scaling>
        <c:delete val="0"/>
        <c:axPos val="r"/>
        <c:title>
          <c:tx>
            <c:rich>
              <a:bodyPr/>
              <a:lstStyle/>
              <a:p>
                <a:pPr>
                  <a:defRPr/>
                </a:pPr>
                <a:r>
                  <a:rPr lang="en-US"/>
                  <a:t>Total Deaths</a:t>
                </a:r>
              </a:p>
            </c:rich>
          </c:tx>
          <c:overlay val="0"/>
        </c:title>
        <c:numFmt formatCode="#,##0" sourceLinked="1"/>
        <c:majorTickMark val="out"/>
        <c:minorTickMark val="none"/>
        <c:tickLblPos val="nextTo"/>
        <c:crossAx val="118594168"/>
        <c:crosses val="max"/>
        <c:crossBetween val="between"/>
      </c:valAx>
      <c:catAx>
        <c:axId val="118594168"/>
        <c:scaling>
          <c:orientation val="minMax"/>
        </c:scaling>
        <c:delete val="1"/>
        <c:axPos val="b"/>
        <c:numFmt formatCode="General" sourceLinked="1"/>
        <c:majorTickMark val="out"/>
        <c:minorTickMark val="none"/>
        <c:tickLblPos val="nextTo"/>
        <c:crossAx val="346471768"/>
        <c:crosses val="autoZero"/>
        <c:auto val="1"/>
        <c:lblAlgn val="ctr"/>
        <c:lblOffset val="100"/>
        <c:noMultiLvlLbl val="0"/>
      </c:catAx>
      <c:spPr>
        <a:solidFill>
          <a:srgbClr val="F7F2EA"/>
        </a:solidFill>
      </c:spPr>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2EA"/>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302014"/>
                </a:solidFill>
                <a:latin typeface="+mn-lt"/>
                <a:ea typeface="+mn-ea"/>
                <a:cs typeface="+mn-cs"/>
              </a:defRPr>
            </a:pPr>
            <a:r>
              <a:rPr lang="en-US"/>
              <a:t>Total Deaths by Continent</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302014"/>
              </a:solidFill>
              <a:latin typeface="+mn-lt"/>
              <a:ea typeface="+mn-ea"/>
              <a:cs typeface="+mn-cs"/>
            </a:defRPr>
          </a:pPr>
          <a:endParaRPr lang="en-NG"/>
        </a:p>
      </c:txPr>
    </c:title>
    <c:autoTitleDeleted val="0"/>
    <c:plotArea>
      <c:layout/>
      <c:barChart>
        <c:barDir val="bar"/>
        <c:grouping val="clustered"/>
        <c:varyColors val="0"/>
        <c:ser>
          <c:idx val="0"/>
          <c:order val="0"/>
          <c:tx>
            <c:strRef>
              <c:f>'Global Death Share'!$B$1</c:f>
              <c:strCache>
                <c:ptCount val="1"/>
                <c:pt idx="0">
                  <c:v>Total Deaths</c:v>
                </c:pt>
              </c:strCache>
            </c:strRef>
          </c:tx>
          <c:spPr>
            <a:solidFill>
              <a:srgbClr val="C0392B"/>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'Global Death Share'!$A$2:$A$7</c:f>
              <c:strCache>
                <c:ptCount val="6"/>
                <c:pt idx="0">
                  <c:v>Europe</c:v>
                </c:pt>
                <c:pt idx="1">
                  <c:v>North America</c:v>
                </c:pt>
                <c:pt idx="2">
                  <c:v>South America</c:v>
                </c:pt>
                <c:pt idx="3">
                  <c:v>Asia</c:v>
                </c:pt>
                <c:pt idx="4">
                  <c:v>Africa</c:v>
                </c:pt>
                <c:pt idx="5">
                  <c:v>Oceania</c:v>
                </c:pt>
              </c:strCache>
            </c:strRef>
          </c:cat>
          <c:val>
            <c:numRef>
              <c:f>'Global Death Share'!$B$2:$B$7</c:f>
              <c:numCache>
                <c:formatCode>#,##0</c:formatCode>
                <c:ptCount val="6"/>
                <c:pt idx="0">
                  <c:v>1016750</c:v>
                </c:pt>
                <c:pt idx="1">
                  <c:v>847942</c:v>
                </c:pt>
                <c:pt idx="2">
                  <c:v>672415</c:v>
                </c:pt>
                <c:pt idx="3">
                  <c:v>520286</c:v>
                </c:pt>
                <c:pt idx="4">
                  <c:v>121784</c:v>
                </c:pt>
                <c:pt idx="5">
                  <c:v>1046</c:v>
                </c:pt>
              </c:numCache>
            </c:numRef>
          </c:val>
          <c:extLst>
            <c:ext xmlns:c16="http://schemas.microsoft.com/office/drawing/2014/chart" uri="{C3380CC4-5D6E-409C-BE32-E72D297353CC}">
              <c16:uniqueId val="{00000000-118D-45CF-A093-B9055169F948}"/>
            </c:ext>
          </c:extLst>
        </c:ser>
        <c:dLbls>
          <c:dLblPos val="inEnd"/>
          <c:showLegendKey val="0"/>
          <c:showVal val="1"/>
          <c:showCatName val="0"/>
          <c:showSerName val="0"/>
          <c:showPercent val="0"/>
          <c:showBubbleSize val="0"/>
        </c:dLbls>
        <c:gapWidth val="65"/>
        <c:axId val="402873360"/>
        <c:axId val="402872640"/>
      </c:barChart>
      <c:catAx>
        <c:axId val="4028733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Continent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NG"/>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402872640"/>
        <c:crosses val="autoZero"/>
        <c:auto val="1"/>
        <c:lblAlgn val="ctr"/>
        <c:lblOffset val="100"/>
        <c:noMultiLvlLbl val="0"/>
      </c:catAx>
      <c:valAx>
        <c:axId val="402872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Deaths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40287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2EA"/>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302014"/>
                </a:solidFill>
              </a:defRPr>
            </a:pPr>
            <a:r>
              <a:rPr lang="en-US"/>
              <a:t>Case Fatality Rate (CFR) — Top 10 Countries</a:t>
            </a:r>
          </a:p>
        </c:rich>
      </c:tx>
      <c:overlay val="0"/>
    </c:title>
    <c:autoTitleDeleted val="0"/>
    <c:plotArea>
      <c:layout/>
      <c:barChart>
        <c:barDir val="col"/>
        <c:grouping val="clustered"/>
        <c:varyColors val="0"/>
        <c:ser>
          <c:idx val="0"/>
          <c:order val="0"/>
          <c:tx>
            <c:strRef>
              <c:f>'Chart 3'!$Q$1</c:f>
              <c:strCache>
                <c:ptCount val="1"/>
                <c:pt idx="0">
                  <c:v>Case Fatality Rate (%)</c:v>
                </c:pt>
              </c:strCache>
            </c:strRef>
          </c:tx>
          <c:spPr>
            <a:solidFill>
              <a:srgbClr val="C0392B"/>
            </a:solidFill>
          </c:spPr>
          <c:invertIfNegative val="0"/>
          <c:cat>
            <c:strRef>
              <c:f>'Chart 3'!$P$2:$P$11</c:f>
              <c:strCache>
                <c:ptCount val="10"/>
                <c:pt idx="0">
                  <c:v>Mexico</c:v>
                </c:pt>
                <c:pt idx="1">
                  <c:v>Italy</c:v>
                </c:pt>
                <c:pt idx="2">
                  <c:v>United Kingdom</c:v>
                </c:pt>
                <c:pt idx="3">
                  <c:v>Brazil</c:v>
                </c:pt>
                <c:pt idx="4">
                  <c:v>Germany</c:v>
                </c:pt>
                <c:pt idx="5">
                  <c:v>Russia</c:v>
                </c:pt>
                <c:pt idx="6">
                  <c:v>Spain</c:v>
                </c:pt>
                <c:pt idx="7">
                  <c:v>France</c:v>
                </c:pt>
                <c:pt idx="8">
                  <c:v>United States</c:v>
                </c:pt>
                <c:pt idx="9">
                  <c:v>India</c:v>
                </c:pt>
              </c:strCache>
            </c:strRef>
          </c:cat>
          <c:val>
            <c:numRef>
              <c:f>'Chart 3'!$Q$2:$Q$11</c:f>
              <c:numCache>
                <c:formatCode>General</c:formatCode>
                <c:ptCount val="10"/>
                <c:pt idx="0">
                  <c:v>9.25</c:v>
                </c:pt>
                <c:pt idx="1">
                  <c:v>3</c:v>
                </c:pt>
                <c:pt idx="2">
                  <c:v>2.88</c:v>
                </c:pt>
                <c:pt idx="3">
                  <c:v>2.75</c:v>
                </c:pt>
                <c:pt idx="4">
                  <c:v>2.44</c:v>
                </c:pt>
                <c:pt idx="5">
                  <c:v>2.2799999999999998</c:v>
                </c:pt>
                <c:pt idx="6">
                  <c:v>2.2200000000000002</c:v>
                </c:pt>
                <c:pt idx="7">
                  <c:v>1.84</c:v>
                </c:pt>
                <c:pt idx="8">
                  <c:v>1.78</c:v>
                </c:pt>
                <c:pt idx="9">
                  <c:v>1.1100000000000001</c:v>
                </c:pt>
              </c:numCache>
            </c:numRef>
          </c:val>
          <c:extLst>
            <c:ext xmlns:c16="http://schemas.microsoft.com/office/drawing/2014/chart" uri="{C3380CC4-5D6E-409C-BE32-E72D297353CC}">
              <c16:uniqueId val="{00000000-75C6-46A4-A970-59451887B19C}"/>
            </c:ext>
          </c:extLst>
        </c:ser>
        <c:dLbls>
          <c:showLegendKey val="0"/>
          <c:showVal val="0"/>
          <c:showCatName val="0"/>
          <c:showSerName val="0"/>
          <c:showPercent val="0"/>
          <c:showBubbleSize val="0"/>
        </c:dLbls>
        <c:gapWidth val="150"/>
        <c:axId val="397077128"/>
        <c:axId val="397079288"/>
      </c:barChart>
      <c:catAx>
        <c:axId val="397077128"/>
        <c:scaling>
          <c:orientation val="minMax"/>
        </c:scaling>
        <c:delete val="0"/>
        <c:axPos val="b"/>
        <c:title>
          <c:tx>
            <c:rich>
              <a:bodyPr/>
              <a:lstStyle/>
              <a:p>
                <a:pPr>
                  <a:defRPr/>
                </a:pPr>
                <a:r>
                  <a:rPr lang="en-US"/>
                  <a:t>Country</a:t>
                </a:r>
              </a:p>
            </c:rich>
          </c:tx>
          <c:overlay val="0"/>
        </c:title>
        <c:numFmt formatCode="General" sourceLinked="1"/>
        <c:majorTickMark val="out"/>
        <c:minorTickMark val="none"/>
        <c:tickLblPos val="nextTo"/>
        <c:crossAx val="397079288"/>
        <c:crosses val="autoZero"/>
        <c:auto val="1"/>
        <c:lblAlgn val="ctr"/>
        <c:lblOffset val="100"/>
        <c:noMultiLvlLbl val="0"/>
      </c:catAx>
      <c:valAx>
        <c:axId val="397079288"/>
        <c:scaling>
          <c:orientation val="minMax"/>
        </c:scaling>
        <c:delete val="0"/>
        <c:axPos val="l"/>
        <c:majorGridlines/>
        <c:title>
          <c:tx>
            <c:rich>
              <a:bodyPr/>
              <a:lstStyle/>
              <a:p>
                <a:pPr>
                  <a:defRPr/>
                </a:pPr>
                <a:r>
                  <a:rPr lang="en-US"/>
                  <a:t>CFR (%)</a:t>
                </a:r>
              </a:p>
            </c:rich>
          </c:tx>
          <c:overlay val="0"/>
        </c:title>
        <c:numFmt formatCode="General" sourceLinked="1"/>
        <c:majorTickMark val="out"/>
        <c:minorTickMark val="none"/>
        <c:tickLblPos val="nextTo"/>
        <c:crossAx val="397077128"/>
        <c:crosses val="autoZero"/>
        <c:crossBetween val="between"/>
      </c:valAx>
      <c:spPr>
        <a:solidFill>
          <a:srgbClr val="F7F2EA"/>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2EA"/>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302014"/>
                </a:solidFill>
                <a:latin typeface="+mn-lt"/>
                <a:ea typeface="+mn-ea"/>
                <a:cs typeface="+mn-cs"/>
              </a:defRPr>
            </a:pPr>
            <a:r>
              <a:rPr lang="en-US"/>
              <a:t>Continent: Total Cases vs Total Deaths</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302014"/>
              </a:solidFill>
              <a:latin typeface="+mn-lt"/>
              <a:ea typeface="+mn-ea"/>
              <a:cs typeface="+mn-cs"/>
            </a:defRPr>
          </a:pPr>
          <a:endParaRPr lang="en-NG"/>
        </a:p>
      </c:txPr>
    </c:title>
    <c:autoTitleDeleted val="0"/>
    <c:plotArea>
      <c:layout/>
      <c:barChart>
        <c:barDir val="col"/>
        <c:grouping val="clustered"/>
        <c:varyColors val="0"/>
        <c:ser>
          <c:idx val="0"/>
          <c:order val="0"/>
          <c:tx>
            <c:strRef>
              <c:f>'Chart 3'!$T$1</c:f>
              <c:strCache>
                <c:ptCount val="1"/>
                <c:pt idx="0">
                  <c:v>Total Deaths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'Chart 3'!$S$2:$S$7</c:f>
              <c:strCache>
                <c:ptCount val="6"/>
                <c:pt idx="0">
                  <c:v>Africa</c:v>
                </c:pt>
                <c:pt idx="1">
                  <c:v>Asia</c:v>
                </c:pt>
                <c:pt idx="2">
                  <c:v>Europe</c:v>
                </c:pt>
                <c:pt idx="3">
                  <c:v>North America</c:v>
                </c:pt>
                <c:pt idx="4">
                  <c:v>Oceania</c:v>
                </c:pt>
                <c:pt idx="5">
                  <c:v>South America</c:v>
                </c:pt>
              </c:strCache>
            </c:strRef>
          </c:cat>
          <c:val>
            <c:numRef>
              <c:f>'Chart 3'!$T$2:$T$7</c:f>
              <c:numCache>
                <c:formatCode>General</c:formatCode>
                <c:ptCount val="6"/>
                <c:pt idx="0">
                  <c:v>121784</c:v>
                </c:pt>
                <c:pt idx="1">
                  <c:v>520286</c:v>
                </c:pt>
                <c:pt idx="2">
                  <c:v>1016750</c:v>
                </c:pt>
                <c:pt idx="3">
                  <c:v>847942</c:v>
                </c:pt>
                <c:pt idx="4">
                  <c:v>1046</c:v>
                </c:pt>
                <c:pt idx="5">
                  <c:v>672415</c:v>
                </c:pt>
              </c:numCache>
            </c:numRef>
          </c:val>
          <c:extLst>
            <c:ext xmlns:c16="http://schemas.microsoft.com/office/drawing/2014/chart" uri="{C3380CC4-5D6E-409C-BE32-E72D297353CC}">
              <c16:uniqueId val="{00000000-CA3E-413D-9CC8-D5940B0AF6A9}"/>
            </c:ext>
          </c:extLst>
        </c:ser>
        <c:dLbls>
          <c:showLegendKey val="0"/>
          <c:showVal val="0"/>
          <c:showCatName val="0"/>
          <c:showSerName val="0"/>
          <c:showPercent val="0"/>
          <c:showBubbleSize val="0"/>
        </c:dLbls>
        <c:gapWidth val="150"/>
        <c:axId val="406251984"/>
        <c:axId val="406254504"/>
      </c:barChart>
      <c:barChart>
        <c:barDir val="col"/>
        <c:grouping val="clustered"/>
        <c:varyColors val="0"/>
        <c:ser>
          <c:idx val="1"/>
          <c:order val="1"/>
          <c:tx>
            <c:strRef>
              <c:f>'Chart 3'!$U$1</c:f>
              <c:strCache>
                <c:ptCount val="1"/>
                <c:pt idx="0">
                  <c:v>Total Cases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'Chart 3'!$S$2:$S$7</c:f>
              <c:strCache>
                <c:ptCount val="6"/>
                <c:pt idx="0">
                  <c:v>Africa</c:v>
                </c:pt>
                <c:pt idx="1">
                  <c:v>Asia</c:v>
                </c:pt>
                <c:pt idx="2">
                  <c:v>Europe</c:v>
                </c:pt>
                <c:pt idx="3">
                  <c:v>North America</c:v>
                </c:pt>
                <c:pt idx="4">
                  <c:v>Oceania</c:v>
                </c:pt>
                <c:pt idx="5">
                  <c:v>South America</c:v>
                </c:pt>
              </c:strCache>
            </c:strRef>
          </c:cat>
          <c:val>
            <c:numRef>
              <c:f>'Chart 3'!$U$2:$U$7</c:f>
              <c:numCache>
                <c:formatCode>General</c:formatCode>
                <c:ptCount val="6"/>
                <c:pt idx="0">
                  <c:v>4557699</c:v>
                </c:pt>
                <c:pt idx="1">
                  <c:v>39526308</c:v>
                </c:pt>
                <c:pt idx="2">
                  <c:v>44863478</c:v>
                </c:pt>
                <c:pt idx="3">
                  <c:v>37529488</c:v>
                </c:pt>
                <c:pt idx="4">
                  <c:v>43570</c:v>
                </c:pt>
                <c:pt idx="5">
                  <c:v>24878216</c:v>
                </c:pt>
              </c:numCache>
            </c:numRef>
          </c:val>
          <c:extLst>
            <c:ext xmlns:c16="http://schemas.microsoft.com/office/drawing/2014/chart" uri="{C3380CC4-5D6E-409C-BE32-E72D297353CC}">
              <c16:uniqueId val="{00000001-CA3E-413D-9CC8-D5940B0AF6A9}"/>
            </c:ext>
          </c:extLst>
        </c:ser>
        <c:dLbls>
          <c:showLegendKey val="0"/>
          <c:showVal val="0"/>
          <c:showCatName val="0"/>
          <c:showSerName val="0"/>
          <c:showPercent val="0"/>
          <c:showBubbleSize val="0"/>
        </c:dLbls>
        <c:gapWidth val="150"/>
        <c:axId val="406246584"/>
        <c:axId val="406255584"/>
      </c:barChart>
      <c:catAx>
        <c:axId val="4062519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Continent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406254504"/>
        <c:crosses val="autoZero"/>
        <c:auto val="1"/>
        <c:lblAlgn val="ctr"/>
        <c:lblOffset val="100"/>
        <c:noMultiLvlLbl val="0"/>
      </c:catAx>
      <c:valAx>
        <c:axId val="4062545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Cases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406251984"/>
        <c:crosses val="autoZero"/>
        <c:crossBetween val="between"/>
      </c:valAx>
      <c:valAx>
        <c:axId val="406255584"/>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Deaths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406246584"/>
        <c:crosses val="max"/>
        <c:crossBetween val="between"/>
      </c:valAx>
      <c:catAx>
        <c:axId val="406246584"/>
        <c:scaling>
          <c:orientation val="minMax"/>
        </c:scaling>
        <c:delete val="1"/>
        <c:axPos val="b"/>
        <c:numFmt formatCode="General" sourceLinked="1"/>
        <c:majorTickMark val="none"/>
        <c:minorTickMark val="none"/>
        <c:tickLblPos val="nextTo"/>
        <c:crossAx val="406255584"/>
        <c:crosses val="autoZero"/>
        <c:auto val="1"/>
        <c:lblAlgn val="ctr"/>
        <c:lblOffset val="100"/>
        <c:noMultiLvlLbl val="0"/>
      </c:catAx>
      <c:spPr>
        <a:solidFill>
          <a:srgbClr val="F7F2EA"/>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2EA"/>
    </a:solidFill>
    <a:ln w="57150"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302014"/>
                </a:solidFill>
              </a:defRPr>
            </a:pPr>
            <a:r>
              <a:rPr lang="en-US"/>
              <a:t>Continent Share of Global Deaths</a:t>
            </a:r>
          </a:p>
        </c:rich>
      </c:tx>
      <c:overlay val="0"/>
    </c:title>
    <c:autoTitleDeleted val="0"/>
    <c:view3D>
      <c:rotX val="75"/>
      <c:rotY val="0"/>
      <c:rAngAx val="0"/>
    </c:view3D>
    <c:floor>
      <c:thickness val="0"/>
    </c:floor>
    <c:sideWall>
      <c:thickness val="0"/>
    </c:sideWall>
    <c:backWall>
      <c:thickness val="0"/>
    </c:backWall>
    <c:plotArea>
      <c:layout/>
      <c:pie3DChart>
        <c:varyColors val="1"/>
        <c:ser>
          <c:idx val="0"/>
          <c:order val="0"/>
          <c:tx>
            <c:strRef>
              <c:f>'Chart 3'!$T$1</c:f>
              <c:strCache>
                <c:ptCount val="1"/>
                <c:pt idx="0">
                  <c:v>Total Deaths</c:v>
                </c:pt>
              </c:strCache>
            </c:strRef>
          </c:tx>
          <c:dLbls>
            <c:numFmt formatCode="0%" sourceLinked="0"/>
            <c:spPr>
              <a:noFill/>
              <a:ln>
                <a:noFill/>
              </a:ln>
              <a:effectLst/>
            </c:spPr>
            <c:txPr>
              <a:bodyPr wrap="square" lIns="38100" tIns="19050" rIns="38100" bIns="19050" anchor="ctr">
                <a:spAutoFit/>
              </a:bodyPr>
              <a:lstStyle/>
              <a:p>
                <a:pPr>
                  <a:defRPr sz="800" b="1">
                    <a:solidFill>
                      <a:srgbClr val="FFFFFF"/>
                    </a:solidFill>
                  </a:defRPr>
                </a:pPr>
                <a:endParaRPr lang="en-NG"/>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'Chart 3'!$S$2:$S$7</c:f>
              <c:strCache>
                <c:ptCount val="6"/>
                <c:pt idx="0">
                  <c:v>Africa</c:v>
                </c:pt>
                <c:pt idx="1">
                  <c:v>Asia</c:v>
                </c:pt>
                <c:pt idx="2">
                  <c:v>Europe</c:v>
                </c:pt>
                <c:pt idx="3">
                  <c:v>North America</c:v>
                </c:pt>
                <c:pt idx="4">
                  <c:v>Oceania</c:v>
                </c:pt>
                <c:pt idx="5">
                  <c:v>South America</c:v>
                </c:pt>
              </c:strCache>
            </c:strRef>
          </c:cat>
          <c:val>
            <c:numRef>
              <c:f>'Chart 3'!$T$2:$T$7</c:f>
              <c:numCache>
                <c:formatCode>General</c:formatCode>
                <c:ptCount val="6"/>
                <c:pt idx="0">
                  <c:v>121784</c:v>
                </c:pt>
                <c:pt idx="1">
                  <c:v>520286</c:v>
                </c:pt>
                <c:pt idx="2">
                  <c:v>1016750</c:v>
                </c:pt>
                <c:pt idx="3">
                  <c:v>847942</c:v>
                </c:pt>
                <c:pt idx="4">
                  <c:v>1046</c:v>
                </c:pt>
                <c:pt idx="5">
                  <c:v>672415</c:v>
                </c:pt>
              </c:numCache>
            </c:numRef>
          </c:val>
          <c:extLst>
            <c:ext xmlns:c16="http://schemas.microsoft.com/office/drawing/2014/chart" uri="{C3380CC4-5D6E-409C-BE32-E72D297353CC}">
              <c16:uniqueId val="{00000000-FD2A-45D4-98D1-0E04C8E9A05F}"/>
            </c:ext>
          </c:extLst>
        </c:ser>
        <c:dLbls>
          <c:showLegendKey val="0"/>
          <c:showVal val="0"/>
          <c:showCatName val="0"/>
          <c:showSerName val="0"/>
          <c:showPercent val="0"/>
          <c:showBubbleSize val="0"/>
          <c:showLeaderLines val="0"/>
        </c:dLbls>
      </c:pie3DChart>
    </c:plotArea>
    <c:legend>
      <c:legendPos val="t"/>
      <c:overlay val="0"/>
      <c:txPr>
        <a:bodyPr/>
        <a:lstStyle/>
        <a:p>
          <a:pPr rtl="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2EA"/>
    </a:solidFill>
    <a:ln w="6350"/>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pPr>
            <a:r>
              <a:rPr lang="en-US"/>
              <a:t>Continent: Total Cases vs Total Deaths</a:t>
            </a:r>
          </a:p>
        </c:rich>
      </c:tx>
      <c:overlay val="0"/>
    </c:title>
    <c:autoTitleDeleted val="0"/>
    <c:plotArea>
      <c:layout/>
      <c:barChart>
        <c:barDir val="col"/>
        <c:grouping val="clustered"/>
        <c:varyColors val="0"/>
        <c:ser>
          <c:idx val="0"/>
          <c:order val="0"/>
          <c:tx>
            <c:v>Total Cases</c:v>
          </c:tx>
          <c:spPr>
            <a:solidFill>
              <a:srgbClr val="2A7FC4"/>
            </a:solidFill>
          </c:spPr>
          <c:invertIfNegative val="0"/>
          <c:cat>
            <c:strRef>
              <c:f>'Continent Analysis'!$A$2:$A$7</c:f>
              <c:strCache>
                <c:ptCount val="6"/>
                <c:pt idx="0">
                  <c:v>Africa</c:v>
                </c:pt>
                <c:pt idx="1">
                  <c:v>Asia</c:v>
                </c:pt>
                <c:pt idx="2">
                  <c:v>Europe</c:v>
                </c:pt>
                <c:pt idx="3">
                  <c:v>North America</c:v>
                </c:pt>
                <c:pt idx="4">
                  <c:v>Oceania</c:v>
                </c:pt>
                <c:pt idx="5">
                  <c:v>South America</c:v>
                </c:pt>
              </c:strCache>
            </c:strRef>
          </c:cat>
          <c:val>
            <c:numRef>
              <c:f>'Continent Analysis'!$B$2:$B$7</c:f>
              <c:numCache>
                <c:formatCode>#,##0</c:formatCode>
                <c:ptCount val="6"/>
                <c:pt idx="0">
                  <c:v>4557699</c:v>
                </c:pt>
                <c:pt idx="1">
                  <c:v>39526308</c:v>
                </c:pt>
                <c:pt idx="2">
                  <c:v>44863478</c:v>
                </c:pt>
                <c:pt idx="3">
                  <c:v>37529488</c:v>
                </c:pt>
                <c:pt idx="4">
                  <c:v>43570</c:v>
                </c:pt>
                <c:pt idx="5">
                  <c:v>24878216</c:v>
                </c:pt>
              </c:numCache>
            </c:numRef>
          </c:val>
          <c:extLst>
            <c:ext xmlns:c16="http://schemas.microsoft.com/office/drawing/2014/chart" uri="{C3380CC4-5D6E-409C-BE32-E72D297353CC}">
              <c16:uniqueId val="{00000002-AD69-466F-AE19-1C6D63B81743}"/>
            </c:ext>
          </c:extLst>
        </c:ser>
        <c:dLbls>
          <c:showLegendKey val="0"/>
          <c:showVal val="0"/>
          <c:showCatName val="0"/>
          <c:showSerName val="0"/>
          <c:showPercent val="0"/>
          <c:showBubbleSize val="0"/>
        </c:dLbls>
        <c:gapWidth val="150"/>
        <c:axId val="406251984"/>
        <c:axId val="406254504"/>
      </c:barChart>
      <c:barChart>
        <c:barDir val="col"/>
        <c:grouping val="clustered"/>
        <c:varyColors val="0"/>
        <c:ser>
          <c:idx val="1"/>
          <c:order val="1"/>
          <c:tx>
            <c:v>Total Deaths</c:v>
          </c:tx>
          <c:spPr>
            <a:solidFill>
              <a:srgbClr val="B53028"/>
            </a:solidFill>
          </c:spPr>
          <c:invertIfNegative val="0"/>
          <c:cat>
            <c:strRef>
              <c:f>'Continent Analysis'!$A$2:$A$7</c:f>
              <c:strCache>
                <c:ptCount val="6"/>
                <c:pt idx="0">
                  <c:v>Africa</c:v>
                </c:pt>
                <c:pt idx="1">
                  <c:v>Asia</c:v>
                </c:pt>
                <c:pt idx="2">
                  <c:v>Europe</c:v>
                </c:pt>
                <c:pt idx="3">
                  <c:v>North America</c:v>
                </c:pt>
                <c:pt idx="4">
                  <c:v>Oceania</c:v>
                </c:pt>
                <c:pt idx="5">
                  <c:v>South America</c:v>
                </c:pt>
              </c:strCache>
            </c:strRef>
          </c:cat>
          <c:val>
            <c:numRef>
              <c:f>'Continent Analysis'!$C$2:$C$7</c:f>
              <c:numCache>
                <c:formatCode>#,##0</c:formatCode>
                <c:ptCount val="6"/>
                <c:pt idx="0">
                  <c:v>121784</c:v>
                </c:pt>
                <c:pt idx="1">
                  <c:v>520286</c:v>
                </c:pt>
                <c:pt idx="2">
                  <c:v>1016750</c:v>
                </c:pt>
                <c:pt idx="3">
                  <c:v>847942</c:v>
                </c:pt>
                <c:pt idx="4">
                  <c:v>1046</c:v>
                </c:pt>
                <c:pt idx="5">
                  <c:v>672415</c:v>
                </c:pt>
              </c:numCache>
            </c:numRef>
          </c:val>
          <c:extLst>
            <c:ext xmlns:c16="http://schemas.microsoft.com/office/drawing/2014/chart" uri="{C3380CC4-5D6E-409C-BE32-E72D297353CC}">
              <c16:uniqueId val="{00000003-AD69-466F-AE19-1C6D63B81743}"/>
            </c:ext>
          </c:extLst>
        </c:ser>
        <c:dLbls>
          <c:showLegendKey val="0"/>
          <c:showVal val="0"/>
          <c:showCatName val="0"/>
          <c:showSerName val="0"/>
          <c:showPercent val="0"/>
          <c:showBubbleSize val="0"/>
        </c:dLbls>
        <c:gapWidth val="150"/>
        <c:axId val="406246584"/>
        <c:axId val="406255584"/>
      </c:barChart>
      <c:catAx>
        <c:axId val="406251984"/>
        <c:scaling>
          <c:orientation val="minMax"/>
        </c:scaling>
        <c:delete val="0"/>
        <c:axPos val="b"/>
        <c:title>
          <c:tx>
            <c:rich>
              <a:bodyPr/>
              <a:lstStyle/>
              <a:p>
                <a:pPr>
                  <a:defRPr/>
                </a:pPr>
                <a:r>
                  <a:rPr lang="en-US"/>
                  <a:t>Continent</a:t>
                </a:r>
              </a:p>
            </c:rich>
          </c:tx>
          <c:overlay val="0"/>
        </c:title>
        <c:numFmt formatCode="General" sourceLinked="1"/>
        <c:majorTickMark val="out"/>
        <c:minorTickMark val="none"/>
        <c:tickLblPos val="nextTo"/>
        <c:crossAx val="406254504"/>
        <c:crosses val="autoZero"/>
        <c:auto val="1"/>
        <c:lblAlgn val="ctr"/>
        <c:lblOffset val="100"/>
        <c:noMultiLvlLbl val="0"/>
      </c:catAx>
      <c:valAx>
        <c:axId val="406254504"/>
        <c:scaling>
          <c:orientation val="minMax"/>
        </c:scaling>
        <c:delete val="0"/>
        <c:axPos val="l"/>
        <c:majorGridlines/>
        <c:title>
          <c:tx>
            <c:rich>
              <a:bodyPr/>
              <a:lstStyle/>
              <a:p>
                <a:pPr>
                  <a:defRPr/>
                </a:pPr>
                <a:r>
                  <a:rPr lang="en-US"/>
                  <a:t>Total Cases</a:t>
                </a:r>
              </a:p>
            </c:rich>
          </c:tx>
          <c:overlay val="0"/>
        </c:title>
        <c:numFmt formatCode="#,##0" sourceLinked="1"/>
        <c:majorTickMark val="out"/>
        <c:minorTickMark val="none"/>
        <c:tickLblPos val="nextTo"/>
        <c:crossAx val="406251984"/>
        <c:crosses val="autoZero"/>
        <c:crossBetween val="between"/>
      </c:valAx>
      <c:valAx>
        <c:axId val="406255584"/>
        <c:scaling>
          <c:orientation val="minMax"/>
        </c:scaling>
        <c:delete val="0"/>
        <c:axPos val="r"/>
        <c:title>
          <c:tx>
            <c:rich>
              <a:bodyPr/>
              <a:lstStyle/>
              <a:p>
                <a:pPr>
                  <a:defRPr/>
                </a:pPr>
                <a:r>
                  <a:rPr lang="en-US"/>
                  <a:t>Total Deaths</a:t>
                </a:r>
              </a:p>
            </c:rich>
          </c:tx>
          <c:overlay val="0"/>
        </c:title>
        <c:numFmt formatCode="#,##0" sourceLinked="1"/>
        <c:majorTickMark val="out"/>
        <c:minorTickMark val="none"/>
        <c:tickLblPos val="nextTo"/>
        <c:crossAx val="406246584"/>
        <c:crosses val="max"/>
        <c:crossBetween val="between"/>
      </c:valAx>
      <c:catAx>
        <c:axId val="406246584"/>
        <c:scaling>
          <c:orientation val="minMax"/>
        </c:scaling>
        <c:delete val="1"/>
        <c:axPos val="b"/>
        <c:numFmt formatCode="General" sourceLinked="1"/>
        <c:majorTickMark val="out"/>
        <c:minorTickMark val="none"/>
        <c:tickLblPos val="nextTo"/>
        <c:crossAx val="406255584"/>
        <c:crosses val="autoZero"/>
        <c:auto val="1"/>
        <c:lblAlgn val="ctr"/>
        <c:lblOffset val="100"/>
        <c:noMultiLvlLbl val="0"/>
      </c:catAx>
      <c:spPr>
        <a:solidFill>
          <a:srgbClr val="22140C"/>
        </a:solidFill>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a:t>Top 10 Countries: Total Cases vs Total Deaths</a:t>
            </a:r>
          </a:p>
        </c:rich>
      </c:tx>
      <c:overlay val="0"/>
    </c:title>
    <c:autoTitleDeleted val="0"/>
    <c:plotArea>
      <c:layout/>
      <c:barChart>
        <c:barDir val="col"/>
        <c:grouping val="clustered"/>
        <c:varyColors val="0"/>
        <c:ser>
          <c:idx val="0"/>
          <c:order val="0"/>
          <c:spPr>
            <a:solidFill>
              <a:srgbClr val="2A7FC4"/>
            </a:solidFill>
          </c:spPr>
          <c:invertIfNegative val="0"/>
          <c:cat>
            <c:strRef>
              <c:f>'Country Analysis'!$A$2:$A$11</c:f>
              <c:strCache>
                <c:ptCount val="10"/>
                <c:pt idx="0">
                  <c:v>United States</c:v>
                </c:pt>
                <c:pt idx="1">
                  <c:v>Brazil</c:v>
                </c:pt>
                <c:pt idx="2">
                  <c:v>Mexico</c:v>
                </c:pt>
                <c:pt idx="3">
                  <c:v>India</c:v>
                </c:pt>
                <c:pt idx="4">
                  <c:v>United Kingdom</c:v>
                </c:pt>
                <c:pt idx="5">
                  <c:v>Italy</c:v>
                </c:pt>
                <c:pt idx="6">
                  <c:v>Russia</c:v>
                </c:pt>
                <c:pt idx="7">
                  <c:v>France</c:v>
                </c:pt>
                <c:pt idx="8">
                  <c:v>Germany</c:v>
                </c:pt>
                <c:pt idx="9">
                  <c:v>Spain</c:v>
                </c:pt>
              </c:strCache>
            </c:strRef>
          </c:cat>
          <c:val>
            <c:numRef>
              <c:f>'Country Analysis'!$B$2:$B$11</c:f>
              <c:numCache>
                <c:formatCode>#,##0</c:formatCode>
                <c:ptCount val="10"/>
                <c:pt idx="0">
                  <c:v>32346971</c:v>
                </c:pt>
                <c:pt idx="1">
                  <c:v>14659011</c:v>
                </c:pt>
                <c:pt idx="2">
                  <c:v>2344755</c:v>
                </c:pt>
                <c:pt idx="3">
                  <c:v>19164969</c:v>
                </c:pt>
                <c:pt idx="4">
                  <c:v>4432246</c:v>
                </c:pt>
                <c:pt idx="5">
                  <c:v>4022653</c:v>
                </c:pt>
                <c:pt idx="6">
                  <c:v>4750755</c:v>
                </c:pt>
                <c:pt idx="7">
                  <c:v>5677835</c:v>
                </c:pt>
                <c:pt idx="8">
                  <c:v>3405365</c:v>
                </c:pt>
                <c:pt idx="9">
                  <c:v>3524077</c:v>
                </c:pt>
              </c:numCache>
            </c:numRef>
          </c:val>
          <c:extLst>
            <c:ext xmlns:c16="http://schemas.microsoft.com/office/drawing/2014/chart" uri="{C3380CC4-5D6E-409C-BE32-E72D297353CC}">
              <c16:uniqueId val="{00000002-DA8A-46CB-89EC-AC12B3AF2DB8}"/>
            </c:ext>
          </c:extLst>
        </c:ser>
        <c:dLbls>
          <c:showLegendKey val="0"/>
          <c:showVal val="0"/>
          <c:showCatName val="0"/>
          <c:showSerName val="0"/>
          <c:showPercent val="0"/>
          <c:showBubbleSize val="0"/>
        </c:dLbls>
        <c:gapWidth val="150"/>
        <c:axId val="402735832"/>
        <c:axId val="402738712"/>
      </c:barChart>
      <c:barChart>
        <c:barDir val="col"/>
        <c:grouping val="clustered"/>
        <c:varyColors val="0"/>
        <c:ser>
          <c:idx val="1"/>
          <c:order val="1"/>
          <c:spPr>
            <a:solidFill>
              <a:srgbClr val="B53028"/>
            </a:solidFill>
          </c:spPr>
          <c:invertIfNegative val="0"/>
          <c:cat>
            <c:strRef>
              <c:f>'Country Analysis'!$A$2:$A$11</c:f>
              <c:strCache>
                <c:ptCount val="10"/>
                <c:pt idx="0">
                  <c:v>United States</c:v>
                </c:pt>
                <c:pt idx="1">
                  <c:v>Brazil</c:v>
                </c:pt>
                <c:pt idx="2">
                  <c:v>Mexico</c:v>
                </c:pt>
                <c:pt idx="3">
                  <c:v>India</c:v>
                </c:pt>
                <c:pt idx="4">
                  <c:v>United Kingdom</c:v>
                </c:pt>
                <c:pt idx="5">
                  <c:v>Italy</c:v>
                </c:pt>
                <c:pt idx="6">
                  <c:v>Russia</c:v>
                </c:pt>
                <c:pt idx="7">
                  <c:v>France</c:v>
                </c:pt>
                <c:pt idx="8">
                  <c:v>Germany</c:v>
                </c:pt>
                <c:pt idx="9">
                  <c:v>Spain</c:v>
                </c:pt>
              </c:strCache>
            </c:strRef>
          </c:cat>
          <c:val>
            <c:numRef>
              <c:f>'Country Analysis'!$C$2:$C$11</c:f>
              <c:numCache>
                <c:formatCode>#,##0</c:formatCode>
                <c:ptCount val="10"/>
                <c:pt idx="0">
                  <c:v>576232</c:v>
                </c:pt>
                <c:pt idx="1">
                  <c:v>403781</c:v>
                </c:pt>
                <c:pt idx="2">
                  <c:v>216907</c:v>
                </c:pt>
                <c:pt idx="3">
                  <c:v>211853</c:v>
                </c:pt>
                <c:pt idx="4">
                  <c:v>127775</c:v>
                </c:pt>
                <c:pt idx="5">
                  <c:v>120807</c:v>
                </c:pt>
                <c:pt idx="6">
                  <c:v>108290</c:v>
                </c:pt>
                <c:pt idx="7">
                  <c:v>104675</c:v>
                </c:pt>
                <c:pt idx="8">
                  <c:v>83097</c:v>
                </c:pt>
                <c:pt idx="9">
                  <c:v>78216</c:v>
                </c:pt>
              </c:numCache>
            </c:numRef>
          </c:val>
          <c:extLst>
            <c:ext xmlns:c16="http://schemas.microsoft.com/office/drawing/2014/chart" uri="{C3380CC4-5D6E-409C-BE32-E72D297353CC}">
              <c16:uniqueId val="{00000003-DA8A-46CB-89EC-AC12B3AF2DB8}"/>
            </c:ext>
          </c:extLst>
        </c:ser>
        <c:dLbls>
          <c:showLegendKey val="0"/>
          <c:showVal val="0"/>
          <c:showCatName val="0"/>
          <c:showSerName val="0"/>
          <c:showPercent val="0"/>
          <c:showBubbleSize val="0"/>
        </c:dLbls>
        <c:gapWidth val="150"/>
        <c:axId val="118594168"/>
        <c:axId val="346471768"/>
      </c:barChart>
      <c:catAx>
        <c:axId val="402735832"/>
        <c:scaling>
          <c:orientation val="minMax"/>
        </c:scaling>
        <c:delete val="0"/>
        <c:axPos val="b"/>
        <c:title>
          <c:tx>
            <c:rich>
              <a:bodyPr/>
              <a:lstStyle/>
              <a:p>
                <a:pPr>
                  <a:defRPr/>
                </a:pPr>
                <a:r>
                  <a:rPr lang="en-US"/>
                  <a:t>Country</a:t>
                </a:r>
              </a:p>
            </c:rich>
          </c:tx>
          <c:overlay val="0"/>
        </c:title>
        <c:numFmt formatCode="General" sourceLinked="1"/>
        <c:majorTickMark val="out"/>
        <c:minorTickMark val="none"/>
        <c:tickLblPos val="nextTo"/>
        <c:crossAx val="402738712"/>
        <c:crosses val="autoZero"/>
        <c:auto val="1"/>
        <c:lblAlgn val="ctr"/>
        <c:lblOffset val="100"/>
        <c:noMultiLvlLbl val="0"/>
      </c:catAx>
      <c:valAx>
        <c:axId val="402738712"/>
        <c:scaling>
          <c:orientation val="minMax"/>
        </c:scaling>
        <c:delete val="0"/>
        <c:axPos val="l"/>
        <c:majorGridlines/>
        <c:title>
          <c:tx>
            <c:rich>
              <a:bodyPr/>
              <a:lstStyle/>
              <a:p>
                <a:pPr>
                  <a:defRPr/>
                </a:pPr>
                <a:r>
                  <a:rPr lang="en-US"/>
                  <a:t>Total Cases</a:t>
                </a:r>
              </a:p>
            </c:rich>
          </c:tx>
          <c:overlay val="0"/>
        </c:title>
        <c:numFmt formatCode="#,##0" sourceLinked="1"/>
        <c:majorTickMark val="out"/>
        <c:minorTickMark val="none"/>
        <c:tickLblPos val="nextTo"/>
        <c:crossAx val="402735832"/>
        <c:crosses val="autoZero"/>
        <c:crossBetween val="between"/>
      </c:valAx>
      <c:valAx>
        <c:axId val="346471768"/>
        <c:scaling>
          <c:orientation val="minMax"/>
        </c:scaling>
        <c:delete val="0"/>
        <c:axPos val="r"/>
        <c:title>
          <c:tx>
            <c:rich>
              <a:bodyPr/>
              <a:lstStyle/>
              <a:p>
                <a:pPr>
                  <a:defRPr/>
                </a:pPr>
                <a:r>
                  <a:rPr lang="en-US"/>
                  <a:t>Total Deaths</a:t>
                </a:r>
              </a:p>
            </c:rich>
          </c:tx>
          <c:overlay val="0"/>
        </c:title>
        <c:numFmt formatCode="#,##0" sourceLinked="1"/>
        <c:majorTickMark val="out"/>
        <c:minorTickMark val="none"/>
        <c:tickLblPos val="nextTo"/>
        <c:crossAx val="118594168"/>
        <c:crosses val="max"/>
        <c:crossBetween val="between"/>
      </c:valAx>
      <c:catAx>
        <c:axId val="118594168"/>
        <c:scaling>
          <c:orientation val="minMax"/>
        </c:scaling>
        <c:delete val="1"/>
        <c:axPos val="b"/>
        <c:numFmt formatCode="General" sourceLinked="1"/>
        <c:majorTickMark val="out"/>
        <c:minorTickMark val="none"/>
        <c:tickLblPos val="nextTo"/>
        <c:crossAx val="346471768"/>
        <c:crosses val="autoZero"/>
        <c:auto val="1"/>
        <c:lblAlgn val="ctr"/>
        <c:lblOffset val="100"/>
        <c:noMultiLvlLbl val="0"/>
      </c:cat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a:t>Continent Share of Global Deaths</a:t>
            </a:r>
          </a:p>
        </c:rich>
      </c:tx>
      <c:overlay val="0"/>
    </c:title>
    <c:autoTitleDeleted val="0"/>
    <c:plotArea>
      <c:layout/>
      <c:pieChart>
        <c:varyColors val="1"/>
        <c:ser>
          <c:idx val="0"/>
          <c:order val="0"/>
          <c:tx>
            <c:v>Share of Global Deaths</c:v>
          </c:tx>
          <c:dLbls>
            <c:spPr>
              <a:noFill/>
              <a:ln>
                <a:noFill/>
              </a:ln>
              <a:effectLst/>
            </c:spPr>
            <c:txPr>
              <a:bodyPr wrap="square" lIns="38100" tIns="19050" rIns="38100" bIns="19050" anchor="ctr">
                <a:spAutoFit/>
              </a:bodyPr>
              <a:lstStyle/>
              <a:p>
                <a:pPr>
                  <a:defRPr sz="900"/>
                </a:pPr>
                <a:endParaRPr lang="en-NG"/>
              </a:p>
            </c:txPr>
            <c:showLegendKey val="0"/>
            <c:showVal val="0"/>
            <c:showCatName val="0"/>
            <c:showSerName val="0"/>
            <c:showPercent val="1"/>
            <c:showBubbleSize val="0"/>
            <c:showLeaderLines val="0"/>
            <c:extLst>
              <c:ext xmlns:c15="http://schemas.microsoft.com/office/drawing/2012/chart" uri="{CE6537A1-D6FC-4f65-9D91-7224C49458BB}"/>
            </c:extLst>
          </c:dLbls>
          <c:cat>
            <c:strRef>
              <c:f>'Global Death Share'!$A$2:$A$7</c:f>
              <c:strCache>
                <c:ptCount val="6"/>
                <c:pt idx="0">
                  <c:v>Europe</c:v>
                </c:pt>
                <c:pt idx="1">
                  <c:v>North America</c:v>
                </c:pt>
                <c:pt idx="2">
                  <c:v>South America</c:v>
                </c:pt>
                <c:pt idx="3">
                  <c:v>Asia</c:v>
                </c:pt>
                <c:pt idx="4">
                  <c:v>Africa</c:v>
                </c:pt>
                <c:pt idx="5">
                  <c:v>Oceania</c:v>
                </c:pt>
              </c:strCache>
            </c:strRef>
          </c:cat>
          <c:val>
            <c:numRef>
              <c:f>'Global Death Share'!$C$2:$C$7</c:f>
              <c:numCache>
                <c:formatCode>0.00"%"</c:formatCode>
                <c:ptCount val="6"/>
                <c:pt idx="0">
                  <c:v>31.97</c:v>
                </c:pt>
                <c:pt idx="1">
                  <c:v>26.66</c:v>
                </c:pt>
                <c:pt idx="2">
                  <c:v>21.14</c:v>
                </c:pt>
                <c:pt idx="3">
                  <c:v>16.36</c:v>
                </c:pt>
                <c:pt idx="4">
                  <c:v>3.83</c:v>
                </c:pt>
                <c:pt idx="5">
                  <c:v>0.03</c:v>
                </c:pt>
              </c:numCache>
            </c:numRef>
          </c:val>
          <c:extLst>
            <c:ext xmlns:c16="http://schemas.microsoft.com/office/drawing/2014/chart" uri="{C3380CC4-5D6E-409C-BE32-E72D297353CC}">
              <c16:uniqueId val="{00000002-DC55-436B-9526-BB3EB369CBAB}"/>
            </c:ext>
          </c:extLst>
        </c:ser>
        <c:dLbls>
          <c:showLegendKey val="0"/>
          <c:showVal val="0"/>
          <c:showCatName val="0"/>
          <c:showSerName val="0"/>
          <c:showPercent val="0"/>
          <c:showBubbleSize val="0"/>
          <c:showLeaderLines val="0"/>
        </c:dLbls>
        <c:firstSliceAng val="0"/>
      </c:pieChart>
    </c:plotArea>
    <c:legend>
      <c:legendPos val="b"/>
      <c:overlay val="0"/>
      <c:txPr>
        <a:bodyPr/>
        <a:lstStyle/>
        <a:p>
          <a:pPr rtl="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a:t>Total Deaths by Continent</a:t>
            </a:r>
          </a:p>
        </c:rich>
      </c:tx>
      <c:overlay val="0"/>
    </c:title>
    <c:autoTitleDeleted val="0"/>
    <c:plotArea>
      <c:layout/>
      <c:barChart>
        <c:barDir val="bar"/>
        <c:grouping val="clustered"/>
        <c:varyColors val="0"/>
        <c:ser>
          <c:idx val="0"/>
          <c:order val="0"/>
          <c:spPr>
            <a:solidFill>
              <a:srgbClr val="B53028"/>
            </a:solidFill>
          </c:spPr>
          <c:invertIfNegative val="0"/>
          <c:cat>
            <c:strRef>
              <c:f>'Global Death Share'!$A$2:$A$7</c:f>
              <c:strCache>
                <c:ptCount val="6"/>
                <c:pt idx="0">
                  <c:v>Europe</c:v>
                </c:pt>
                <c:pt idx="1">
                  <c:v>North America</c:v>
                </c:pt>
                <c:pt idx="2">
                  <c:v>South America</c:v>
                </c:pt>
                <c:pt idx="3">
                  <c:v>Asia</c:v>
                </c:pt>
                <c:pt idx="4">
                  <c:v>Africa</c:v>
                </c:pt>
                <c:pt idx="5">
                  <c:v>Oceania</c:v>
                </c:pt>
              </c:strCache>
            </c:strRef>
          </c:cat>
          <c:val>
            <c:numRef>
              <c:f>'Global Death Share'!$B$2:$B$7</c:f>
              <c:numCache>
                <c:formatCode>#,##0</c:formatCode>
                <c:ptCount val="6"/>
                <c:pt idx="0">
                  <c:v>1016750</c:v>
                </c:pt>
                <c:pt idx="1">
                  <c:v>847942</c:v>
                </c:pt>
                <c:pt idx="2">
                  <c:v>672415</c:v>
                </c:pt>
                <c:pt idx="3">
                  <c:v>520286</c:v>
                </c:pt>
                <c:pt idx="4">
                  <c:v>121784</c:v>
                </c:pt>
                <c:pt idx="5">
                  <c:v>1046</c:v>
                </c:pt>
              </c:numCache>
            </c:numRef>
          </c:val>
          <c:extLst>
            <c:ext xmlns:c16="http://schemas.microsoft.com/office/drawing/2014/chart" uri="{C3380CC4-5D6E-409C-BE32-E72D297353CC}">
              <c16:uniqueId val="{00000002-6FF5-4187-B4B0-6E1AD276E8CC}"/>
            </c:ext>
          </c:extLst>
        </c:ser>
        <c:dLbls>
          <c:showLegendKey val="0"/>
          <c:showVal val="0"/>
          <c:showCatName val="0"/>
          <c:showSerName val="0"/>
          <c:showPercent val="0"/>
          <c:showBubbleSize val="0"/>
        </c:dLbls>
        <c:gapWidth val="150"/>
        <c:axId val="402873360"/>
        <c:axId val="402872640"/>
      </c:barChart>
      <c:catAx>
        <c:axId val="402873360"/>
        <c:scaling>
          <c:orientation val="minMax"/>
        </c:scaling>
        <c:delete val="0"/>
        <c:axPos val="l"/>
        <c:title>
          <c:tx>
            <c:rich>
              <a:bodyPr/>
              <a:lstStyle/>
              <a:p>
                <a:pPr>
                  <a:defRPr/>
                </a:pPr>
                <a:r>
                  <a:rPr lang="en-US"/>
                  <a:t>Continent</a:t>
                </a:r>
              </a:p>
            </c:rich>
          </c:tx>
          <c:overlay val="0"/>
        </c:title>
        <c:numFmt formatCode="General" sourceLinked="1"/>
        <c:majorTickMark val="out"/>
        <c:minorTickMark val="none"/>
        <c:tickLblPos val="nextTo"/>
        <c:crossAx val="402872640"/>
        <c:crosses val="autoZero"/>
        <c:auto val="1"/>
        <c:lblAlgn val="ctr"/>
        <c:lblOffset val="100"/>
        <c:noMultiLvlLbl val="0"/>
      </c:catAx>
      <c:valAx>
        <c:axId val="402872640"/>
        <c:scaling>
          <c:orientation val="minMax"/>
        </c:scaling>
        <c:delete val="0"/>
        <c:axPos val="b"/>
        <c:majorGridlines/>
        <c:title>
          <c:tx>
            <c:rich>
              <a:bodyPr/>
              <a:lstStyle/>
              <a:p>
                <a:pPr>
                  <a:defRPr/>
                </a:pPr>
                <a:r>
                  <a:rPr lang="en-US"/>
                  <a:t>Total Deaths</a:t>
                </a:r>
              </a:p>
            </c:rich>
          </c:tx>
          <c:overlay val="0"/>
        </c:title>
        <c:numFmt formatCode="#,##0" sourceLinked="1"/>
        <c:majorTickMark val="out"/>
        <c:minorTickMark val="none"/>
        <c:tickLblPos val="nextTo"/>
        <c:crossAx val="402873360"/>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US"/>
              <a:t>Case Fatality Rate (CFR) — Top 10 Countries</a:t>
            </a:r>
          </a:p>
        </c:rich>
      </c:tx>
      <c:overlay val="0"/>
    </c:title>
    <c:autoTitleDeleted val="0"/>
    <c:plotArea>
      <c:layout/>
      <c:barChart>
        <c:barDir val="bar"/>
        <c:grouping val="clustered"/>
        <c:varyColors val="0"/>
        <c:ser>
          <c:idx val="0"/>
          <c:order val="0"/>
          <c:tx>
            <c:v>CFR (%)</c:v>
          </c:tx>
          <c:spPr>
            <a:solidFill>
              <a:srgbClr val="D4D41A"/>
            </a:solidFill>
          </c:spPr>
          <c:invertIfNegative val="0"/>
          <c:dLbls>
            <c:numFmt formatCode="0.00&quot;%&quot;" sourceLinked="0"/>
            <c:spPr>
              <a:noFill/>
              <a:ln>
                <a:noFill/>
              </a:ln>
              <a:effectLst/>
            </c:spPr>
            <c:txPr>
              <a:bodyPr wrap="square" lIns="38100" tIns="19050" rIns="38100" bIns="19050" anchor="ctr">
                <a:spAutoFit/>
              </a:bodyPr>
              <a:lstStyle/>
              <a:p>
                <a:pPr>
                  <a:defRPr sz="900"/>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'Country CFR'!$A$2:$A$11</c:f>
              <c:strCache>
                <c:ptCount val="10"/>
                <c:pt idx="0">
                  <c:v>Mexico</c:v>
                </c:pt>
                <c:pt idx="1">
                  <c:v>Italy</c:v>
                </c:pt>
                <c:pt idx="2">
                  <c:v>United Kingdom</c:v>
                </c:pt>
                <c:pt idx="3">
                  <c:v>Brazil</c:v>
                </c:pt>
                <c:pt idx="4">
                  <c:v>Germany</c:v>
                </c:pt>
                <c:pt idx="5">
                  <c:v>Russia</c:v>
                </c:pt>
                <c:pt idx="6">
                  <c:v>Spain</c:v>
                </c:pt>
                <c:pt idx="7">
                  <c:v>France</c:v>
                </c:pt>
                <c:pt idx="8">
                  <c:v>United States</c:v>
                </c:pt>
                <c:pt idx="9">
                  <c:v>India</c:v>
                </c:pt>
              </c:strCache>
            </c:strRef>
          </c:cat>
          <c:val>
            <c:numRef>
              <c:f>'Country CFR'!$B$2:$B$11</c:f>
              <c:numCache>
                <c:formatCode>0.00"%"</c:formatCode>
                <c:ptCount val="10"/>
                <c:pt idx="0">
                  <c:v>9.25</c:v>
                </c:pt>
                <c:pt idx="1">
                  <c:v>3</c:v>
                </c:pt>
                <c:pt idx="2">
                  <c:v>2.88</c:v>
                </c:pt>
                <c:pt idx="3">
                  <c:v>2.75</c:v>
                </c:pt>
                <c:pt idx="4">
                  <c:v>2.44</c:v>
                </c:pt>
                <c:pt idx="5">
                  <c:v>2.2799999999999998</c:v>
                </c:pt>
                <c:pt idx="6">
                  <c:v>2.2200000000000002</c:v>
                </c:pt>
                <c:pt idx="7">
                  <c:v>1.84</c:v>
                </c:pt>
                <c:pt idx="8">
                  <c:v>1.78</c:v>
                </c:pt>
                <c:pt idx="9">
                  <c:v>1.1100000000000001</c:v>
                </c:pt>
              </c:numCache>
            </c:numRef>
          </c:val>
          <c:extLst>
            <c:ext xmlns:c16="http://schemas.microsoft.com/office/drawing/2014/chart" uri="{C3380CC4-5D6E-409C-BE32-E72D297353CC}">
              <c16:uniqueId val="{00000001-4F91-4338-83F0-33633D964A13}"/>
            </c:ext>
          </c:extLst>
        </c:ser>
        <c:dLbls>
          <c:showLegendKey val="0"/>
          <c:showVal val="0"/>
          <c:showCatName val="0"/>
          <c:showSerName val="0"/>
          <c:showPercent val="0"/>
          <c:showBubbleSize val="0"/>
        </c:dLbls>
        <c:gapWidth val="150"/>
        <c:axId val="397077128"/>
        <c:axId val="397079288"/>
      </c:barChart>
      <c:catAx>
        <c:axId val="397077128"/>
        <c:scaling>
          <c:orientation val="minMax"/>
        </c:scaling>
        <c:delete val="0"/>
        <c:axPos val="l"/>
        <c:title>
          <c:tx>
            <c:rich>
              <a:bodyPr/>
              <a:lstStyle/>
              <a:p>
                <a:pPr>
                  <a:defRPr/>
                </a:pPr>
                <a:r>
                  <a:rPr lang="en-US"/>
                  <a:t>Country</a:t>
                </a:r>
              </a:p>
            </c:rich>
          </c:tx>
          <c:overlay val="0"/>
        </c:title>
        <c:numFmt formatCode="General" sourceLinked="1"/>
        <c:majorTickMark val="out"/>
        <c:minorTickMark val="none"/>
        <c:tickLblPos val="nextTo"/>
        <c:crossAx val="397079288"/>
        <c:crosses val="autoZero"/>
        <c:auto val="1"/>
        <c:lblAlgn val="ctr"/>
        <c:lblOffset val="100"/>
        <c:noMultiLvlLbl val="0"/>
      </c:catAx>
      <c:valAx>
        <c:axId val="397079288"/>
        <c:scaling>
          <c:orientation val="minMax"/>
        </c:scaling>
        <c:delete val="0"/>
        <c:axPos val="b"/>
        <c:majorGridlines/>
        <c:title>
          <c:tx>
            <c:rich>
              <a:bodyPr/>
              <a:lstStyle/>
              <a:p>
                <a:pPr>
                  <a:defRPr/>
                </a:pPr>
                <a:r>
                  <a:rPr lang="en-US"/>
                  <a:t>CFR (%)</a:t>
                </a:r>
              </a:p>
            </c:rich>
          </c:tx>
          <c:overlay val="0"/>
        </c:title>
        <c:numFmt formatCode="0.00&quot;%&quot;" sourceLinked="1"/>
        <c:majorTickMark val="out"/>
        <c:minorTickMark val="none"/>
        <c:tickLblPos val="nextTo"/>
        <c:crossAx val="397077128"/>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120650</xdr:colOff>
      <xdr:row>0</xdr:row>
      <xdr:rowOff>31750</xdr:rowOff>
    </xdr:from>
    <xdr:to>
      <xdr:col>14</xdr:col>
      <xdr:colOff>476250</xdr:colOff>
      <xdr:row>16</xdr:row>
      <xdr:rowOff>158750</xdr:rowOff>
    </xdr:to>
    <xdr:graphicFrame macro="">
      <xdr:nvGraphicFramePr>
        <xdr:cNvPr id="2" name="Chart 1">
          <a:extLst>
            <a:ext uri="{FF2B5EF4-FFF2-40B4-BE49-F238E27FC236}">
              <a16:creationId xmlns:a16="http://schemas.microsoft.com/office/drawing/2014/main" id="{82C47971-C1DB-B903-BFDB-07C9A9C6F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7</xdr:row>
      <xdr:rowOff>104775</xdr:rowOff>
    </xdr:from>
    <xdr:to>
      <xdr:col>6</xdr:col>
      <xdr:colOff>660400</xdr:colOff>
      <xdr:row>23</xdr:row>
      <xdr:rowOff>41275</xdr:rowOff>
    </xdr:to>
    <xdr:graphicFrame macro="">
      <xdr:nvGraphicFramePr>
        <xdr:cNvPr id="2" name="Chart 1">
          <a:extLst>
            <a:ext uri="{FF2B5EF4-FFF2-40B4-BE49-F238E27FC236}">
              <a16:creationId xmlns:a16="http://schemas.microsoft.com/office/drawing/2014/main" id="{7103A2BC-BCA4-4549-8762-256100485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7</xdr:row>
      <xdr:rowOff>104775</xdr:rowOff>
    </xdr:from>
    <xdr:to>
      <xdr:col>13</xdr:col>
      <xdr:colOff>660400</xdr:colOff>
      <xdr:row>23</xdr:row>
      <xdr:rowOff>41275</xdr:rowOff>
    </xdr:to>
    <xdr:graphicFrame macro="">
      <xdr:nvGraphicFramePr>
        <xdr:cNvPr id="3" name="Chart 2">
          <a:extLst>
            <a:ext uri="{FF2B5EF4-FFF2-40B4-BE49-F238E27FC236}">
              <a16:creationId xmlns:a16="http://schemas.microsoft.com/office/drawing/2014/main" id="{735AEA6A-E04C-4EE1-B61D-FB9A3319E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xdr:colOff>
      <xdr:row>24</xdr:row>
      <xdr:rowOff>3175</xdr:rowOff>
    </xdr:from>
    <xdr:to>
      <xdr:col>6</xdr:col>
      <xdr:colOff>660400</xdr:colOff>
      <xdr:row>39</xdr:row>
      <xdr:rowOff>130175</xdr:rowOff>
    </xdr:to>
    <xdr:graphicFrame macro="">
      <xdr:nvGraphicFramePr>
        <xdr:cNvPr id="4" name="Chart 3">
          <a:extLst>
            <a:ext uri="{FF2B5EF4-FFF2-40B4-BE49-F238E27FC236}">
              <a16:creationId xmlns:a16="http://schemas.microsoft.com/office/drawing/2014/main" id="{8B0A0A33-7F51-40C0-987C-70AFFC4F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76200</xdr:colOff>
      <xdr:row>24</xdr:row>
      <xdr:rowOff>3175</xdr:rowOff>
    </xdr:from>
    <xdr:to>
      <xdr:col>13</xdr:col>
      <xdr:colOff>660400</xdr:colOff>
      <xdr:row>39</xdr:row>
      <xdr:rowOff>130175</xdr:rowOff>
    </xdr:to>
    <xdr:graphicFrame macro="">
      <xdr:nvGraphicFramePr>
        <xdr:cNvPr id="5" name="Chart 4">
          <a:extLst>
            <a:ext uri="{FF2B5EF4-FFF2-40B4-BE49-F238E27FC236}">
              <a16:creationId xmlns:a16="http://schemas.microsoft.com/office/drawing/2014/main" id="{9741F56E-9A74-42AF-B2F5-2E826D2BB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xdr:colOff>
      <xdr:row>40</xdr:row>
      <xdr:rowOff>92075</xdr:rowOff>
    </xdr:from>
    <xdr:to>
      <xdr:col>6</xdr:col>
      <xdr:colOff>660400</xdr:colOff>
      <xdr:row>56</xdr:row>
      <xdr:rowOff>28575</xdr:rowOff>
    </xdr:to>
    <xdr:graphicFrame macro="">
      <xdr:nvGraphicFramePr>
        <xdr:cNvPr id="6" name="Chart 5">
          <a:extLst>
            <a:ext uri="{FF2B5EF4-FFF2-40B4-BE49-F238E27FC236}">
              <a16:creationId xmlns:a16="http://schemas.microsoft.com/office/drawing/2014/main" id="{B682570A-9263-4EE8-AA66-B30389F0D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76200</xdr:colOff>
      <xdr:row>40</xdr:row>
      <xdr:rowOff>92075</xdr:rowOff>
    </xdr:from>
    <xdr:to>
      <xdr:col>13</xdr:col>
      <xdr:colOff>660400</xdr:colOff>
      <xdr:row>56</xdr:row>
      <xdr:rowOff>28575</xdr:rowOff>
    </xdr:to>
    <xdr:graphicFrame macro="">
      <xdr:nvGraphicFramePr>
        <xdr:cNvPr id="7" name="Chart 6">
          <a:extLst>
            <a:ext uri="{FF2B5EF4-FFF2-40B4-BE49-F238E27FC236}">
              <a16:creationId xmlns:a16="http://schemas.microsoft.com/office/drawing/2014/main" id="{6656772B-26D4-49F8-BDAC-BF3576635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38100</xdr:colOff>
      <xdr:row>3</xdr:row>
      <xdr:rowOff>9525</xdr:rowOff>
    </xdr:from>
    <xdr:to>
      <xdr:col>13</xdr:col>
      <xdr:colOff>628650</xdr:colOff>
      <xdr:row>5</xdr:row>
      <xdr:rowOff>190500</xdr:rowOff>
    </xdr:to>
    <xdr:pic>
      <xdr:nvPicPr>
        <xdr:cNvPr id="9" name="Picture 8">
          <a:extLst>
            <a:ext uri="{FF2B5EF4-FFF2-40B4-BE49-F238E27FC236}">
              <a16:creationId xmlns:a16="http://schemas.microsoft.com/office/drawing/2014/main" id="{1C4FEE04-9513-279A-636B-BD2CE8CA281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267700" y="733425"/>
          <a:ext cx="1276350" cy="809625"/>
        </a:xfrm>
        <a:prstGeom prst="rect">
          <a:avLst/>
        </a:prstGeom>
      </xdr:spPr>
    </xdr:pic>
    <xdr:clientData/>
  </xdr:twoCellAnchor>
  <xdr:twoCellAnchor editAs="absolute">
    <xdr:from>
      <xdr:col>9</xdr:col>
      <xdr:colOff>152400</xdr:colOff>
      <xdr:row>56</xdr:row>
      <xdr:rowOff>180975</xdr:rowOff>
    </xdr:from>
    <xdr:to>
      <xdr:col>13</xdr:col>
      <xdr:colOff>638175</xdr:colOff>
      <xdr:row>66</xdr:row>
      <xdr:rowOff>180975</xdr:rowOff>
    </xdr:to>
    <mc:AlternateContent xmlns:mc="http://schemas.openxmlformats.org/markup-compatibility/2006">
      <mc:Choice xmlns:sle15="http://schemas.microsoft.com/office/drawing/2012/slicer" Requires="sle15">
        <xdr:graphicFrame macro="">
          <xdr:nvGraphicFramePr>
            <xdr:cNvPr id="10" name="Slicer_Wave1">
              <a:extLst>
                <a:ext uri="{FF2B5EF4-FFF2-40B4-BE49-F238E27FC236}">
                  <a16:creationId xmlns:a16="http://schemas.microsoft.com/office/drawing/2014/main" id="{B682BCE9-F803-3FA0-99D3-AB66D0567689}"/>
                </a:ext>
              </a:extLst>
            </xdr:cNvPr>
            <xdr:cNvGraphicFramePr/>
          </xdr:nvGraphicFramePr>
          <xdr:xfrm>
            <a:off x="0" y="0"/>
            <a:ext cx="0" cy="0"/>
          </xdr:xfrm>
          <a:graphic>
            <a:graphicData uri="http://schemas.microsoft.com/office/drawing/2010/slicer">
              <sle:slicer xmlns:sle="http://schemas.microsoft.com/office/drawing/2010/slicer" name="Slicer_Wave1"/>
            </a:graphicData>
          </a:graphic>
        </xdr:graphicFrame>
      </mc:Choice>
      <mc:Fallback>
        <xdr:sp macro="" textlink="">
          <xdr:nvSpPr>
            <xdr:cNvPr id="0" name=""/>
            <xdr:cNvSpPr>
              <a:spLocks noTextEdit="1"/>
            </xdr:cNvSpPr>
          </xdr:nvSpPr>
          <xdr:spPr>
            <a:xfrm>
              <a:off x="6324600" y="11239500"/>
              <a:ext cx="3228975" cy="190500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25400</xdr:colOff>
      <xdr:row>56</xdr:row>
      <xdr:rowOff>180975</xdr:rowOff>
    </xdr:from>
    <xdr:to>
      <xdr:col>4</xdr:col>
      <xdr:colOff>330200</xdr:colOff>
      <xdr:row>66</xdr:row>
      <xdr:rowOff>180975</xdr:rowOff>
    </xdr:to>
    <mc:AlternateContent xmlns:mc="http://schemas.openxmlformats.org/markup-compatibility/2006">
      <mc:Choice xmlns:sle15="http://schemas.microsoft.com/office/drawing/2012/slicer" Requires="sle15">
        <xdr:graphicFrame macro="">
          <xdr:nvGraphicFramePr>
            <xdr:cNvPr id="11" name="Slicer_Continent1">
              <a:extLst>
                <a:ext uri="{FF2B5EF4-FFF2-40B4-BE49-F238E27FC236}">
                  <a16:creationId xmlns:a16="http://schemas.microsoft.com/office/drawing/2014/main" id="{6E6B28E9-E108-8D68-674F-7B4492B98E35}"/>
                </a:ext>
              </a:extLst>
            </xdr:cNvPr>
            <xdr:cNvGraphicFramePr/>
          </xdr:nvGraphicFramePr>
          <xdr:xfrm>
            <a:off x="0" y="0"/>
            <a:ext cx="0" cy="0"/>
          </xdr:xfrm>
          <a:graphic>
            <a:graphicData uri="http://schemas.microsoft.com/office/drawing/2010/slicer">
              <sle:slicer xmlns:sle="http://schemas.microsoft.com/office/drawing/2010/slicer" name="Slicer_Continent1"/>
            </a:graphicData>
          </a:graphic>
        </xdr:graphicFrame>
      </mc:Choice>
      <mc:Fallback>
        <xdr:sp macro="" textlink="">
          <xdr:nvSpPr>
            <xdr:cNvPr id="0" name=""/>
            <xdr:cNvSpPr>
              <a:spLocks noTextEdit="1"/>
            </xdr:cNvSpPr>
          </xdr:nvSpPr>
          <xdr:spPr>
            <a:xfrm>
              <a:off x="25400" y="11239500"/>
              <a:ext cx="3048000" cy="190500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431800</xdr:colOff>
      <xdr:row>56</xdr:row>
      <xdr:rowOff>180975</xdr:rowOff>
    </xdr:from>
    <xdr:to>
      <xdr:col>9</xdr:col>
      <xdr:colOff>50800</xdr:colOff>
      <xdr:row>66</xdr:row>
      <xdr:rowOff>180975</xdr:rowOff>
    </xdr:to>
    <mc:AlternateContent xmlns:mc="http://schemas.openxmlformats.org/markup-compatibility/2006">
      <mc:Choice xmlns:sle15="http://schemas.microsoft.com/office/drawing/2012/slicer" Requires="sle15">
        <xdr:graphicFrame macro="">
          <xdr:nvGraphicFramePr>
            <xdr:cNvPr id="12" name="Slicer_Country1">
              <a:extLst>
                <a:ext uri="{FF2B5EF4-FFF2-40B4-BE49-F238E27FC236}">
                  <a16:creationId xmlns:a16="http://schemas.microsoft.com/office/drawing/2014/main" id="{B1FA22D8-D471-650A-F399-8F31756E27C4}"/>
                </a:ext>
              </a:extLst>
            </xdr:cNvPr>
            <xdr:cNvGraphicFramePr/>
          </xdr:nvGraphicFramePr>
          <xdr:xfrm>
            <a:off x="0" y="0"/>
            <a:ext cx="0" cy="0"/>
          </xdr:xfrm>
          <a:graphic>
            <a:graphicData uri="http://schemas.microsoft.com/office/drawing/2010/slicer">
              <sle:slicer xmlns:sle="http://schemas.microsoft.com/office/drawing/2010/slicer" name="Slicer_Country1"/>
            </a:graphicData>
          </a:graphic>
        </xdr:graphicFrame>
      </mc:Choice>
      <mc:Fallback>
        <xdr:sp macro="" textlink="">
          <xdr:nvSpPr>
            <xdr:cNvPr id="0" name=""/>
            <xdr:cNvSpPr>
              <a:spLocks noTextEdit="1"/>
            </xdr:cNvSpPr>
          </xdr:nvSpPr>
          <xdr:spPr>
            <a:xfrm>
              <a:off x="3175000" y="11239500"/>
              <a:ext cx="3048000" cy="190500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25398</xdr:colOff>
      <xdr:row>6</xdr:row>
      <xdr:rowOff>38100</xdr:rowOff>
    </xdr:from>
    <xdr:to>
      <xdr:col>13</xdr:col>
      <xdr:colOff>600075</xdr:colOff>
      <xdr:row>23</xdr:row>
      <xdr:rowOff>180975</xdr:rowOff>
    </xdr:to>
    <xdr:graphicFrame macro="">
      <xdr:nvGraphicFramePr>
        <xdr:cNvPr id="2" name="Chart 1">
          <a:extLst>
            <a:ext uri="{FF2B5EF4-FFF2-40B4-BE49-F238E27FC236}">
              <a16:creationId xmlns:a16="http://schemas.microsoft.com/office/drawing/2014/main" id="{1B50675F-C851-4D70-B7BF-D56F4DA7B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25399</xdr:colOff>
      <xdr:row>24</xdr:row>
      <xdr:rowOff>57150</xdr:rowOff>
    </xdr:from>
    <xdr:to>
      <xdr:col>6</xdr:col>
      <xdr:colOff>660399</xdr:colOff>
      <xdr:row>41</xdr:row>
      <xdr:rowOff>79375</xdr:rowOff>
    </xdr:to>
    <xdr:graphicFrame macro="">
      <xdr:nvGraphicFramePr>
        <xdr:cNvPr id="3" name="Chart 2">
          <a:extLst>
            <a:ext uri="{FF2B5EF4-FFF2-40B4-BE49-F238E27FC236}">
              <a16:creationId xmlns:a16="http://schemas.microsoft.com/office/drawing/2014/main" id="{5EBC11D7-4AAE-4317-916A-53AC28B9D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24</xdr:row>
      <xdr:rowOff>47625</xdr:rowOff>
    </xdr:from>
    <xdr:to>
      <xdr:col>13</xdr:col>
      <xdr:colOff>600075</xdr:colOff>
      <xdr:row>41</xdr:row>
      <xdr:rowOff>79375</xdr:rowOff>
    </xdr:to>
    <xdr:graphicFrame macro="">
      <xdr:nvGraphicFramePr>
        <xdr:cNvPr id="4" name="Chart 3">
          <a:extLst>
            <a:ext uri="{FF2B5EF4-FFF2-40B4-BE49-F238E27FC236}">
              <a16:creationId xmlns:a16="http://schemas.microsoft.com/office/drawing/2014/main" id="{0339E0E9-371F-4231-BFD6-F65EFC971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25400</xdr:colOff>
      <xdr:row>41</xdr:row>
      <xdr:rowOff>133350</xdr:rowOff>
    </xdr:from>
    <xdr:to>
      <xdr:col>4</xdr:col>
      <xdr:colOff>381000</xdr:colOff>
      <xdr:row>49</xdr:row>
      <xdr:rowOff>85725</xdr:rowOff>
    </xdr:to>
    <mc:AlternateContent xmlns:mc="http://schemas.openxmlformats.org/markup-compatibility/2006">
      <mc:Choice xmlns:sle15="http://schemas.microsoft.com/office/drawing/2012/slicer" Requires="sle15">
        <xdr:graphicFrame macro="">
          <xdr:nvGraphicFramePr>
            <xdr:cNvPr id="5" name="Slicer_Continent">
              <a:extLst>
                <a:ext uri="{FF2B5EF4-FFF2-40B4-BE49-F238E27FC236}">
                  <a16:creationId xmlns:a16="http://schemas.microsoft.com/office/drawing/2014/main" id="{342DE751-89B6-2349-1E68-10130A7753C0}"/>
                </a:ext>
              </a:extLst>
            </xdr:cNvPr>
            <xdr:cNvGraphicFramePr/>
          </xdr:nvGraphicFramePr>
          <xdr:xfrm>
            <a:off x="0" y="0"/>
            <a:ext cx="0" cy="0"/>
          </xdr:xfrm>
          <a:graphic>
            <a:graphicData uri="http://schemas.microsoft.com/office/drawing/2010/slicer">
              <sle:slicer xmlns:sle="http://schemas.microsoft.com/office/drawing/2010/slicer" name="Slicer_Continent"/>
            </a:graphicData>
          </a:graphic>
        </xdr:graphicFrame>
      </mc:Choice>
      <mc:Fallback>
        <xdr:sp macro="" textlink="">
          <xdr:nvSpPr>
            <xdr:cNvPr id="0" name=""/>
            <xdr:cNvSpPr>
              <a:spLocks noTextEdit="1"/>
            </xdr:cNvSpPr>
          </xdr:nvSpPr>
          <xdr:spPr>
            <a:xfrm>
              <a:off x="25400" y="8334375"/>
              <a:ext cx="3098800" cy="147637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95250</xdr:colOff>
      <xdr:row>41</xdr:row>
      <xdr:rowOff>114301</xdr:rowOff>
    </xdr:from>
    <xdr:to>
      <xdr:col>13</xdr:col>
      <xdr:colOff>600075</xdr:colOff>
      <xdr:row>49</xdr:row>
      <xdr:rowOff>114300</xdr:rowOff>
    </xdr:to>
    <mc:AlternateContent xmlns:mc="http://schemas.openxmlformats.org/markup-compatibility/2006">
      <mc:Choice xmlns:sle15="http://schemas.microsoft.com/office/drawing/2012/slicer" Requires="sle15">
        <xdr:graphicFrame macro="">
          <xdr:nvGraphicFramePr>
            <xdr:cNvPr id="6" name="Slicer_Wave">
              <a:extLst>
                <a:ext uri="{FF2B5EF4-FFF2-40B4-BE49-F238E27FC236}">
                  <a16:creationId xmlns:a16="http://schemas.microsoft.com/office/drawing/2014/main" id="{8F5E234E-A1F7-ABAD-C374-7CFF1A277F03}"/>
                </a:ext>
              </a:extLst>
            </xdr:cNvPr>
            <xdr:cNvGraphicFramePr/>
          </xdr:nvGraphicFramePr>
          <xdr:xfrm>
            <a:off x="0" y="0"/>
            <a:ext cx="0" cy="0"/>
          </xdr:xfrm>
          <a:graphic>
            <a:graphicData uri="http://schemas.microsoft.com/office/drawing/2010/slicer">
              <sle:slicer xmlns:sle="http://schemas.microsoft.com/office/drawing/2010/slicer" name="Slicer_Wave"/>
            </a:graphicData>
          </a:graphic>
        </xdr:graphicFrame>
      </mc:Choice>
      <mc:Fallback>
        <xdr:sp macro="" textlink="">
          <xdr:nvSpPr>
            <xdr:cNvPr id="0" name=""/>
            <xdr:cNvSpPr>
              <a:spLocks noTextEdit="1"/>
            </xdr:cNvSpPr>
          </xdr:nvSpPr>
          <xdr:spPr>
            <a:xfrm>
              <a:off x="6267450" y="8315326"/>
              <a:ext cx="3248025" cy="1523999"/>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431800</xdr:colOff>
      <xdr:row>41</xdr:row>
      <xdr:rowOff>123825</xdr:rowOff>
    </xdr:from>
    <xdr:to>
      <xdr:col>9</xdr:col>
      <xdr:colOff>50800</xdr:colOff>
      <xdr:row>49</xdr:row>
      <xdr:rowOff>95250</xdr:rowOff>
    </xdr:to>
    <mc:AlternateContent xmlns:mc="http://schemas.openxmlformats.org/markup-compatibility/2006">
      <mc:Choice xmlns:sle15="http://schemas.microsoft.com/office/drawing/2012/slicer" Requires="sle15">
        <xdr:graphicFrame macro="">
          <xdr:nvGraphicFramePr>
            <xdr:cNvPr id="7" name="Slicer_Country">
              <a:extLst>
                <a:ext uri="{FF2B5EF4-FFF2-40B4-BE49-F238E27FC236}">
                  <a16:creationId xmlns:a16="http://schemas.microsoft.com/office/drawing/2014/main" id="{82BFC397-5ED9-CC36-D613-7572DA7EE12B}"/>
                </a:ext>
              </a:extLst>
            </xdr:cNvPr>
            <xdr:cNvGraphicFramePr/>
          </xdr:nvGraphicFramePr>
          <xdr:xfrm>
            <a:off x="0" y="0"/>
            <a:ext cx="0" cy="0"/>
          </xdr:xfrm>
          <a:graphic>
            <a:graphicData uri="http://schemas.microsoft.com/office/drawing/2010/slicer">
              <sle:slicer xmlns:sle="http://schemas.microsoft.com/office/drawing/2010/slicer" name="Slicer_Country"/>
            </a:graphicData>
          </a:graphic>
        </xdr:graphicFrame>
      </mc:Choice>
      <mc:Fallback>
        <xdr:sp macro="" textlink="">
          <xdr:nvSpPr>
            <xdr:cNvPr id="0" name=""/>
            <xdr:cNvSpPr>
              <a:spLocks noTextEdit="1"/>
            </xdr:cNvSpPr>
          </xdr:nvSpPr>
          <xdr:spPr>
            <a:xfrm>
              <a:off x="3175000" y="8324850"/>
              <a:ext cx="3048000" cy="149542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12</xdr:col>
      <xdr:colOff>47624</xdr:colOff>
      <xdr:row>3</xdr:row>
      <xdr:rowOff>1</xdr:rowOff>
    </xdr:from>
    <xdr:to>
      <xdr:col>13</xdr:col>
      <xdr:colOff>609599</xdr:colOff>
      <xdr:row>6</xdr:row>
      <xdr:rowOff>9526</xdr:rowOff>
    </xdr:to>
    <xdr:pic>
      <xdr:nvPicPr>
        <xdr:cNvPr id="9" name="Picture 8">
          <a:extLst>
            <a:ext uri="{FF2B5EF4-FFF2-40B4-BE49-F238E27FC236}">
              <a16:creationId xmlns:a16="http://schemas.microsoft.com/office/drawing/2014/main" id="{0A02C3FA-A15E-52E8-74C5-B53DFF6529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277224" y="723901"/>
          <a:ext cx="1247775" cy="838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25400</xdr:colOff>
      <xdr:row>6</xdr:row>
      <xdr:rowOff>57150</xdr:rowOff>
    </xdr:from>
    <xdr:to>
      <xdr:col>13</xdr:col>
      <xdr:colOff>647700</xdr:colOff>
      <xdr:row>23</xdr:row>
      <xdr:rowOff>180975</xdr:rowOff>
    </xdr:to>
    <xdr:graphicFrame macro="">
      <xdr:nvGraphicFramePr>
        <xdr:cNvPr id="2" name="Chart 1">
          <a:extLst>
            <a:ext uri="{FF2B5EF4-FFF2-40B4-BE49-F238E27FC236}">
              <a16:creationId xmlns:a16="http://schemas.microsoft.com/office/drawing/2014/main" id="{0BEC787F-4F39-474E-9F62-55C20A4A5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24</xdr:row>
      <xdr:rowOff>57150</xdr:rowOff>
    </xdr:from>
    <xdr:to>
      <xdr:col>6</xdr:col>
      <xdr:colOff>660400</xdr:colOff>
      <xdr:row>41</xdr:row>
      <xdr:rowOff>79375</xdr:rowOff>
    </xdr:to>
    <xdr:graphicFrame macro="">
      <xdr:nvGraphicFramePr>
        <xdr:cNvPr id="3" name="Chart 2">
          <a:extLst>
            <a:ext uri="{FF2B5EF4-FFF2-40B4-BE49-F238E27FC236}">
              <a16:creationId xmlns:a16="http://schemas.microsoft.com/office/drawing/2014/main" id="{26009D93-7040-4924-80CE-671C9136F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28576</xdr:colOff>
      <xdr:row>24</xdr:row>
      <xdr:rowOff>19050</xdr:rowOff>
    </xdr:from>
    <xdr:to>
      <xdr:col>13</xdr:col>
      <xdr:colOff>638175</xdr:colOff>
      <xdr:row>41</xdr:row>
      <xdr:rowOff>114300</xdr:rowOff>
    </xdr:to>
    <xdr:graphicFrame macro="">
      <xdr:nvGraphicFramePr>
        <xdr:cNvPr id="4" name="Chart 3">
          <a:extLst>
            <a:ext uri="{FF2B5EF4-FFF2-40B4-BE49-F238E27FC236}">
              <a16:creationId xmlns:a16="http://schemas.microsoft.com/office/drawing/2014/main" id="{96A4CF45-8381-443F-A80A-686873F51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38100</xdr:colOff>
      <xdr:row>41</xdr:row>
      <xdr:rowOff>139700</xdr:rowOff>
    </xdr:from>
    <xdr:to>
      <xdr:col>13</xdr:col>
      <xdr:colOff>657225</xdr:colOff>
      <xdr:row>49</xdr:row>
      <xdr:rowOff>161925</xdr:rowOff>
    </xdr:to>
    <mc:AlternateContent xmlns:mc="http://schemas.openxmlformats.org/markup-compatibility/2006">
      <mc:Choice xmlns:sle15="http://schemas.microsoft.com/office/drawing/2012/slicer" Requires="sle15">
        <xdr:graphicFrame macro="">
          <xdr:nvGraphicFramePr>
            <xdr:cNvPr id="5" name="Slicer_Country3">
              <a:extLst>
                <a:ext uri="{FF2B5EF4-FFF2-40B4-BE49-F238E27FC236}">
                  <a16:creationId xmlns:a16="http://schemas.microsoft.com/office/drawing/2014/main" id="{6631ABCE-BF9E-2D10-ED3D-AE4D812F8C12}"/>
                </a:ext>
              </a:extLst>
            </xdr:cNvPr>
            <xdr:cNvGraphicFramePr/>
          </xdr:nvGraphicFramePr>
          <xdr:xfrm>
            <a:off x="0" y="0"/>
            <a:ext cx="0" cy="0"/>
          </xdr:xfrm>
          <a:graphic>
            <a:graphicData uri="http://schemas.microsoft.com/office/drawing/2010/slicer">
              <sle:slicer xmlns:sle="http://schemas.microsoft.com/office/drawing/2010/slicer" name="Slicer_Country3"/>
            </a:graphicData>
          </a:graphic>
        </xdr:graphicFrame>
      </mc:Choice>
      <mc:Fallback>
        <xdr:sp macro="" textlink="">
          <xdr:nvSpPr>
            <xdr:cNvPr id="0" name=""/>
            <xdr:cNvSpPr>
              <a:spLocks noTextEdit="1"/>
            </xdr:cNvSpPr>
          </xdr:nvSpPr>
          <xdr:spPr>
            <a:xfrm>
              <a:off x="4838700" y="8340725"/>
              <a:ext cx="4733925" cy="154622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25400</xdr:colOff>
      <xdr:row>41</xdr:row>
      <xdr:rowOff>133350</xdr:rowOff>
    </xdr:from>
    <xdr:to>
      <xdr:col>7</xdr:col>
      <xdr:colOff>28575</xdr:colOff>
      <xdr:row>49</xdr:row>
      <xdr:rowOff>171449</xdr:rowOff>
    </xdr:to>
    <mc:AlternateContent xmlns:mc="http://schemas.openxmlformats.org/markup-compatibility/2006">
      <mc:Choice xmlns:sle15="http://schemas.microsoft.com/office/drawing/2012/slicer" Requires="sle15">
        <xdr:graphicFrame macro="">
          <xdr:nvGraphicFramePr>
            <xdr:cNvPr id="6" name="Slicer_Continent3">
              <a:extLst>
                <a:ext uri="{FF2B5EF4-FFF2-40B4-BE49-F238E27FC236}">
                  <a16:creationId xmlns:a16="http://schemas.microsoft.com/office/drawing/2014/main" id="{038ECDCB-98D2-9280-9DD7-081F4478036F}"/>
                </a:ext>
              </a:extLst>
            </xdr:cNvPr>
            <xdr:cNvGraphicFramePr/>
          </xdr:nvGraphicFramePr>
          <xdr:xfrm>
            <a:off x="0" y="0"/>
            <a:ext cx="0" cy="0"/>
          </xdr:xfrm>
          <a:graphic>
            <a:graphicData uri="http://schemas.microsoft.com/office/drawing/2010/slicer">
              <sle:slicer xmlns:sle="http://schemas.microsoft.com/office/drawing/2010/slicer" name="Slicer_Continent3"/>
            </a:graphicData>
          </a:graphic>
        </xdr:graphicFrame>
      </mc:Choice>
      <mc:Fallback>
        <xdr:sp macro="" textlink="">
          <xdr:nvSpPr>
            <xdr:cNvPr id="0" name=""/>
            <xdr:cNvSpPr>
              <a:spLocks noTextEdit="1"/>
            </xdr:cNvSpPr>
          </xdr:nvSpPr>
          <xdr:spPr>
            <a:xfrm>
              <a:off x="25400" y="8334375"/>
              <a:ext cx="4803775" cy="1562099"/>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12</xdr:col>
      <xdr:colOff>38101</xdr:colOff>
      <xdr:row>3</xdr:row>
      <xdr:rowOff>0</xdr:rowOff>
    </xdr:from>
    <xdr:to>
      <xdr:col>13</xdr:col>
      <xdr:colOff>647701</xdr:colOff>
      <xdr:row>6</xdr:row>
      <xdr:rowOff>1</xdr:rowOff>
    </xdr:to>
    <xdr:pic>
      <xdr:nvPicPr>
        <xdr:cNvPr id="8" name="Picture 7">
          <a:extLst>
            <a:ext uri="{FF2B5EF4-FFF2-40B4-BE49-F238E27FC236}">
              <a16:creationId xmlns:a16="http://schemas.microsoft.com/office/drawing/2014/main" id="{D1CF1244-8547-EE03-7B89-03157A4EC04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267701" y="723900"/>
          <a:ext cx="1295400" cy="8286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254000</xdr:colOff>
      <xdr:row>12</xdr:row>
      <xdr:rowOff>63500</xdr:rowOff>
    </xdr:from>
    <xdr:to>
      <xdr:col>10</xdr:col>
      <xdr:colOff>130175</xdr:colOff>
      <xdr:row>33</xdr:row>
      <xdr:rowOff>127000</xdr:rowOff>
    </xdr:to>
    <xdr:graphicFrame macro="">
      <xdr:nvGraphicFramePr>
        <xdr:cNvPr id="2" name="Chart 1">
          <a:extLst>
            <a:ext uri="{FF2B5EF4-FFF2-40B4-BE49-F238E27FC236}">
              <a16:creationId xmlns:a16="http://schemas.microsoft.com/office/drawing/2014/main" id="{DC0A03D9-58F5-9DC0-D7D6-7416D5CF5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492125</xdr:colOff>
      <xdr:row>3</xdr:row>
      <xdr:rowOff>114300</xdr:rowOff>
    </xdr:from>
    <xdr:to>
      <xdr:col>16</xdr:col>
      <xdr:colOff>187325</xdr:colOff>
      <xdr:row>30</xdr:row>
      <xdr:rowOff>44450</xdr:rowOff>
    </xdr:to>
    <xdr:graphicFrame macro="">
      <xdr:nvGraphicFramePr>
        <xdr:cNvPr id="2" name="Chart 1">
          <a:extLst>
            <a:ext uri="{FF2B5EF4-FFF2-40B4-BE49-F238E27FC236}">
              <a16:creationId xmlns:a16="http://schemas.microsoft.com/office/drawing/2014/main" id="{75676E55-8517-DD5F-63C8-FCAFB320C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254000</xdr:colOff>
      <xdr:row>13</xdr:row>
      <xdr:rowOff>0</xdr:rowOff>
    </xdr:from>
    <xdr:to>
      <xdr:col>4</xdr:col>
      <xdr:colOff>447675</xdr:colOff>
      <xdr:row>33</xdr:row>
      <xdr:rowOff>0</xdr:rowOff>
    </xdr:to>
    <xdr:graphicFrame macro="">
      <xdr:nvGraphicFramePr>
        <xdr:cNvPr id="2" name="Chart 1">
          <a:extLst>
            <a:ext uri="{FF2B5EF4-FFF2-40B4-BE49-F238E27FC236}">
              <a16:creationId xmlns:a16="http://schemas.microsoft.com/office/drawing/2014/main" id="{00900595-8976-093B-61B3-168399BFD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92075</xdr:colOff>
      <xdr:row>13</xdr:row>
      <xdr:rowOff>0</xdr:rowOff>
    </xdr:from>
    <xdr:to>
      <xdr:col>13</xdr:col>
      <xdr:colOff>295275</xdr:colOff>
      <xdr:row>33</xdr:row>
      <xdr:rowOff>0</xdr:rowOff>
    </xdr:to>
    <xdr:graphicFrame macro="">
      <xdr:nvGraphicFramePr>
        <xdr:cNvPr id="3" name="Chart 2">
          <a:extLst>
            <a:ext uri="{FF2B5EF4-FFF2-40B4-BE49-F238E27FC236}">
              <a16:creationId xmlns:a16="http://schemas.microsoft.com/office/drawing/2014/main" id="{2CD15E12-C312-C997-C0F6-D4412919A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254000</xdr:colOff>
      <xdr:row>13</xdr:row>
      <xdr:rowOff>0</xdr:rowOff>
    </xdr:from>
    <xdr:to>
      <xdr:col>7</xdr:col>
      <xdr:colOff>390525</xdr:colOff>
      <xdr:row>34</xdr:row>
      <xdr:rowOff>63500</xdr:rowOff>
    </xdr:to>
    <xdr:graphicFrame macro="">
      <xdr:nvGraphicFramePr>
        <xdr:cNvPr id="2" name="Chart 1">
          <a:extLst>
            <a:ext uri="{FF2B5EF4-FFF2-40B4-BE49-F238E27FC236}">
              <a16:creationId xmlns:a16="http://schemas.microsoft.com/office/drawing/2014/main" id="{F36DFDD1-5B05-BA40-242E-BDE8888C2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B157570C-AA5D-482A-A822-E89D44F7670E}" sourceName="Continen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ve" xr10:uid="{3C7E7FA4-8E3C-4997-AA53-D242B4DC5CC3}" sourceName="Wave">
  <extLst>
    <x:ext xmlns:x15="http://schemas.microsoft.com/office/spreadsheetml/2010/11/main" uri="{2F2917AC-EB37-4324-AD4E-5DD8C200BD13}">
      <x15:tableSlicerCache tableId="2"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4E5829B-E059-430D-B438-078E9D94A926}" sourceName="Country">
  <extLst>
    <x:ext xmlns:x15="http://schemas.microsoft.com/office/spreadsheetml/2010/11/main" uri="{2F2917AC-EB37-4324-AD4E-5DD8C200BD13}">
      <x15:tableSlicerCache tableId="3"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C9F4DFE-FEA2-4C61-8289-899225F28DF3}" sourceName="Country">
  <extLst>
    <x:ext xmlns:x15="http://schemas.microsoft.com/office/spreadsheetml/2010/11/main" uri="{2F2917AC-EB37-4324-AD4E-5DD8C200BD13}">
      <x15:tableSlicerCache tableId="4"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ED906843-EBEC-4E42-8C81-37A63A11AAE1}" sourceName="Continent">
  <extLst>
    <x:ext xmlns:x15="http://schemas.microsoft.com/office/spreadsheetml/2010/11/main" uri="{2F2917AC-EB37-4324-AD4E-5DD8C200BD13}">
      <x15:tableSlicerCache tableId="5"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ve1" xr10:uid="{5CFAE37B-A705-44E9-8B53-E95FA63F5580}" sourceName="Wave">
  <extLst>
    <x:ext xmlns:x15="http://schemas.microsoft.com/office/spreadsheetml/2010/11/main" uri="{2F2917AC-EB37-4324-AD4E-5DD8C200BD13}">
      <x15:tableSlicerCache tableId="6" column="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2" xr10:uid="{3A0DDEF7-425C-4FEF-B1D7-19E7945485A7}" sourceName="Continent">
  <extLst>
    <x:ext xmlns:x15="http://schemas.microsoft.com/office/spreadsheetml/2010/11/main" uri="{2F2917AC-EB37-4324-AD4E-5DD8C200BD13}">
      <x15:tableSlicerCache tableId="7"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8ECC76FA-BDF2-435C-A165-16EE00AD0D78}" sourceName="Country">
  <extLst>
    <x:ext xmlns:x15="http://schemas.microsoft.com/office/spreadsheetml/2010/11/main" uri="{2F2917AC-EB37-4324-AD4E-5DD8C200BD13}">
      <x15:tableSlicerCache tableId="8"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Wave1" xr10:uid="{C52DB67B-72F3-4CEC-8118-B1A436ECBA64}" cache="Slicer_Wave1" caption="Wave" rowHeight="241300"/>
  <slicer name="Slicer_Continent1" xr10:uid="{ABD9213D-6A54-44F0-95C6-3F44C2FE591C}" cache="Slicer_Continent2" caption="Continent" rowHeight="241300"/>
  <slicer name="Slicer_Country1" xr10:uid="{D9C42C93-654C-45AF-99C7-C3502B7A52F8}" cache="Slicer_Country2"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Continent" xr10:uid="{AF69B0D3-AF89-437E-B96C-0CFC0971D076}" cache="Slicer_Continent" caption="Continent" style="SlicerStyleDark1" rowHeight="241300"/>
  <slicer name="Slicer_Wave" xr10:uid="{3728CADB-5698-4F65-A4A8-D38CAF4D4978}" cache="Slicer_Wave" caption="Wave" rowHeight="241300"/>
  <slicer name="Slicer_Country" xr10:uid="{41BF65AA-EF4F-4E71-9102-FA659E533667}" cache="Slicer_Country"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Country3" xr10:uid="{EBBC2328-8A39-4035-B46E-FAB3AAAAE9E7}" cache="Slicer_Country1" caption="Country" rowHeight="241300"/>
  <slicer name="Slicer_Continent3" xr10:uid="{53A14F9C-4FC4-4672-93E3-431D74B1A862}" cache="Slicer_Continent1" caption="Contin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253B6A-ECAC-485A-B241-4C9C8E74F113}" name="tblMonthly" displayName="tblMonthly" ref="A1:E17" totalsRowShown="0" headerRowDxfId="5">
  <autoFilter ref="A1:E17" xr:uid="{8C253B6A-ECAC-485A-B241-4C9C8E74F113}"/>
  <tableColumns count="5">
    <tableColumn id="1" xr3:uid="{D178D0B7-BB67-4F9D-B055-5EC88B92C14F}" name="Month" dataDxfId="6"/>
    <tableColumn id="2" xr3:uid="{5F9804DE-171B-4E8E-B15C-DA7B92B7E6D4}" name="Year"/>
    <tableColumn id="3" xr3:uid="{956279D7-BE34-420F-B276-78EB9157B15B}" name="New Deaths"/>
    <tableColumn id="4" xr3:uid="{B48E0673-9612-4EE9-ABC9-CA80FED28563}" name="Cumulative Deaths"/>
    <tableColumn id="5" xr3:uid="{A49ED87B-B3B9-43AF-8016-44D045A0D1A6}" name="Wav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0D1DAA-E99C-4F6F-9539-C9B61CFB6401}" name="tblMonthly1" displayName="tblMonthly1" ref="P1:S17" totalsRowShown="0">
  <autoFilter ref="P1:S17" xr:uid="{C50D1DAA-E99C-4F6F-9539-C9B61CFB6401}"/>
  <tableColumns count="4">
    <tableColumn id="1" xr3:uid="{6371D70F-6D41-4D77-9D1C-A39B68979CB2}" name="Month" dataDxfId="1">
      <calculatedColumnFormula>'Monthly Trend'!A2</calculatedColumnFormula>
    </tableColumn>
    <tableColumn id="2" xr3:uid="{99A68F1A-397F-48AC-BB81-8091D293BE55}" name="New Deaths">
      <calculatedColumnFormula>'Monthly Trend'!C2</calculatedColumnFormula>
    </tableColumn>
    <tableColumn id="3" xr3:uid="{A5057848-4A6F-428E-A29B-5D84E0145538}" name="Cumulative Deaths">
      <calculatedColumnFormula>'Monthly Trend'!D2</calculatedColumnFormula>
    </tableColumn>
    <tableColumn id="4" xr3:uid="{B7F00ECC-CCAA-463D-8277-3C18988D17DC}" name="Wave">
      <calculatedColumnFormula>'Monthly Trend'!E2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495B1F-BE46-4051-B828-C281C0B545BA}" name="tblCont1" displayName="tblCont1" ref="U1:W7" totalsRowShown="0">
  <autoFilter ref="U1:W7" xr:uid="{F6495B1F-BE46-4051-B828-C281C0B545BA}"/>
  <tableColumns count="3">
    <tableColumn id="1" xr3:uid="{51CAA3FE-1F6F-4134-BCD1-0A6730040ACF}" name="Continent">
      <calculatedColumnFormula>'Continent Analysis'!A2</calculatedColumnFormula>
    </tableColumn>
    <tableColumn id="2" xr3:uid="{F2FF6B3A-1B0D-4E67-8E2E-5E5B4618D618}" name="Total Deaths">
      <calculatedColumnFormula>'Continent Analysis'!C2</calculatedColumnFormula>
    </tableColumn>
    <tableColumn id="3" xr3:uid="{377FA215-8EF3-4450-8F8C-5E56A897568B}" name="Total Cases">
      <calculatedColumnFormula>'Continent Analysis'!B2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2371EC-C624-4ED2-9452-60A57C8DB005}" name="tblCountry1" displayName="tblCountry1" ref="Z1:AD11" totalsRowShown="0">
  <autoFilter ref="Z1:AD11" xr:uid="{652371EC-C624-4ED2-9452-60A57C8DB005}"/>
  <tableColumns count="5">
    <tableColumn id="1" xr3:uid="{206DE7CB-FD36-4FE6-87A9-98EDF392C959}" name="Country">
      <calculatedColumnFormula>'Country Analysis'!A2</calculatedColumnFormula>
    </tableColumn>
    <tableColumn id="2" xr3:uid="{2590BC92-FCFD-438E-B882-389806F44157}" name="Total Cases">
      <calculatedColumnFormula>'Country Analysis'!B2</calculatedColumnFormula>
    </tableColumn>
    <tableColumn id="3" xr3:uid="{CD4C7489-B7F8-4C40-A56A-0E1ED3FD37E9}" name="Total Deaths">
      <calculatedColumnFormula>'Country Analysis'!C2</calculatedColumnFormula>
    </tableColumn>
    <tableColumn id="4" xr3:uid="{9791EA84-C340-4229-A44C-75EC2279494B}" name="Country (CFR)">
      <calculatedColumnFormula>Z2</calculatedColumnFormula>
    </tableColumn>
    <tableColumn id="5" xr3:uid="{C86D1896-FA26-4FF3-B081-5F025CA69F1A}" name="CFR" dataDxfId="0">
      <calculatedColumnFormula>AB2/AA2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DEF9B6-9A6D-4FA6-877A-F51B07C10FF2}" name="tblCFR3" displayName="tblCFR3" ref="P1:Q11" totalsRowShown="0">
  <autoFilter ref="P1:Q11" xr:uid="{0DDEF9B6-9A6D-4FA6-877A-F51B07C10FF2}"/>
  <tableColumns count="2">
    <tableColumn id="1" xr3:uid="{7D5028CE-5364-44AA-8913-ACB4DCCD653E}" name="Country">
      <calculatedColumnFormula>'Country CFR'!A2</calculatedColumnFormula>
    </tableColumn>
    <tableColumn id="2" xr3:uid="{C0E906F5-B1CC-4F05-874E-F2570FB491B0}" name="Case Fatality Rate (%)">
      <calculatedColumnFormula>'Country CFR'!B2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D2AB5F-9DA0-4A34-AD5A-1474CEA50986}" name="tblCont3" displayName="tblCont3" ref="S1:U7" totalsRowShown="0">
  <autoFilter ref="S1:U7" xr:uid="{D5D2AB5F-9DA0-4A34-AD5A-1474CEA50986}"/>
  <tableColumns count="3">
    <tableColumn id="1" xr3:uid="{CFB99458-B34C-4170-B535-AC71B0CE0822}" name="Continent">
      <calculatedColumnFormula>'Continent Analysis'!A2</calculatedColumnFormula>
    </tableColumn>
    <tableColumn id="2" xr3:uid="{ACEA7EC5-9F1C-419E-A1C1-D1B25532659E}" name="Total Deaths">
      <calculatedColumnFormula>'Continent Analysis'!C2</calculatedColumnFormula>
    </tableColumn>
    <tableColumn id="3" xr3:uid="{35B75E41-E003-4A08-9ADA-533E10C198EE}" name="Total Cases">
      <calculatedColumnFormula>'Continent Analysis'!B2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5A5DC0-38B5-49DC-8B6C-7FC6FA0FBD70}" name="tblCountry" displayName="tblCountry" ref="A1:C11" totalsRowShown="0" headerRowDxfId="2">
  <autoFilter ref="A1:C11" xr:uid="{215A5DC0-38B5-49DC-8B6C-7FC6FA0FBD70}"/>
  <tableColumns count="3">
    <tableColumn id="1" xr3:uid="{BA7C1B85-1B8C-47EF-8AF2-F0664E091500}" name="Country"/>
    <tableColumn id="2" xr3:uid="{EE9F345A-8230-49C7-9A1C-8FFB8354E5D2}" name="Total Cases" dataDxfId="4"/>
    <tableColumn id="3" xr3:uid="{992FD18B-8055-4F03-9086-B3A8F39C26DD}" name="Total Deaths" dataDxf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C3AFE0-9A37-4AC6-B93C-87E7556C37A9}" name="tblContinentDeaths" displayName="tblContinentDeaths" ref="A1:B7" totalsRowShown="0" headerRowDxfId="7">
  <autoFilter ref="A1:B7" xr:uid="{38C3AFE0-9A37-4AC6-B93C-87E7556C37A9}"/>
  <tableColumns count="2">
    <tableColumn id="1" xr3:uid="{8127275D-1C03-4B66-8E6D-795F238F69F1}" name="Continent" dataDxfId="9"/>
    <tableColumn id="2" xr3:uid="{267F683C-94E1-4818-BB20-B20D80A8B66F}" name="Total Deaths"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BADA83C-9915-4B5F-BC1D-BB06F6F74829}">
  <we:reference id="wa200009404" version="1.0.0.8" store="en-US" storeType="OMEX"/>
  <we:alternateReferences>
    <we:reference id="wa200009404" version="1.0.0.8" store="wa200009404" storeType="OMEX"/>
  </we:alternateReferences>
  <we:properties>
    <we:property name="claude.fileId" value="&quot;cbbf552a-386c-4017-a1dd-05c2a2e2f163&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5" Type="http://schemas.microsoft.com/office/2007/relationships/slicer" Target="../slicers/slicer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1B24-956F-43C4-AC6E-0806AEF0D8C5}">
  <sheetPr>
    <tabColor rgb="FF2830B5"/>
  </sheetPr>
  <dimension ref="A1:C13"/>
  <sheetViews>
    <sheetView workbookViewId="0"/>
  </sheetViews>
  <sheetFormatPr defaultRowHeight="15" x14ac:dyDescent="0.25"/>
  <cols>
    <col min="1" max="1" width="34.7109375" customWidth="1"/>
    <col min="2" max="2" width="22.7109375" customWidth="1"/>
    <col min="3" max="3" width="50.7109375" customWidth="1"/>
  </cols>
  <sheetData>
    <row r="1" spans="1:3" x14ac:dyDescent="0.25">
      <c r="A1" s="1" t="s">
        <v>0</v>
      </c>
      <c r="B1" s="1" t="s">
        <v>1</v>
      </c>
      <c r="C1" s="1" t="s">
        <v>2</v>
      </c>
    </row>
    <row r="2" spans="1:3" x14ac:dyDescent="0.25">
      <c r="A2" t="s">
        <v>3</v>
      </c>
      <c r="B2" s="2">
        <v>3180223</v>
      </c>
      <c r="C2" t="s">
        <v>4</v>
      </c>
    </row>
    <row r="3" spans="1:3" x14ac:dyDescent="0.25">
      <c r="A3" t="s">
        <v>5</v>
      </c>
      <c r="B3" s="2">
        <v>151398759</v>
      </c>
      <c r="C3" t="s">
        <v>4</v>
      </c>
    </row>
    <row r="4" spans="1:3" x14ac:dyDescent="0.25">
      <c r="A4" t="s">
        <v>6</v>
      </c>
      <c r="B4" s="3">
        <v>2.1000000000000001E-2</v>
      </c>
      <c r="C4" t="s">
        <v>7</v>
      </c>
    </row>
    <row r="5" spans="1:3" x14ac:dyDescent="0.25">
      <c r="A5" t="s">
        <v>8</v>
      </c>
      <c r="B5" t="s">
        <v>9</v>
      </c>
      <c r="C5" t="s">
        <v>10</v>
      </c>
    </row>
    <row r="6" spans="1:3" x14ac:dyDescent="0.25">
      <c r="A6" t="s">
        <v>11</v>
      </c>
      <c r="B6" s="2">
        <v>85172</v>
      </c>
      <c r="C6" t="s">
        <v>12</v>
      </c>
    </row>
    <row r="7" spans="1:3" x14ac:dyDescent="0.25">
      <c r="A7" t="s">
        <v>13</v>
      </c>
      <c r="B7">
        <v>59</v>
      </c>
      <c r="C7" t="s">
        <v>14</v>
      </c>
    </row>
    <row r="8" spans="1:3" x14ac:dyDescent="0.25">
      <c r="A8" t="s">
        <v>15</v>
      </c>
      <c r="B8" t="s">
        <v>16</v>
      </c>
      <c r="C8" t="s">
        <v>17</v>
      </c>
    </row>
    <row r="9" spans="1:3" x14ac:dyDescent="0.25">
      <c r="A9" t="s">
        <v>18</v>
      </c>
      <c r="B9" s="4">
        <v>44197</v>
      </c>
      <c r="C9" t="s">
        <v>19</v>
      </c>
    </row>
    <row r="10" spans="1:3" x14ac:dyDescent="0.25">
      <c r="A10" t="s">
        <v>20</v>
      </c>
      <c r="B10" t="s">
        <v>21</v>
      </c>
      <c r="C10" t="s">
        <v>22</v>
      </c>
    </row>
    <row r="11" spans="1:3" x14ac:dyDescent="0.25">
      <c r="A11" t="s">
        <v>23</v>
      </c>
      <c r="B11" t="s">
        <v>24</v>
      </c>
      <c r="C11" t="s">
        <v>25</v>
      </c>
    </row>
    <row r="12" spans="1:3" x14ac:dyDescent="0.25">
      <c r="A12" t="s">
        <v>26</v>
      </c>
      <c r="B12" t="s">
        <v>27</v>
      </c>
      <c r="C12" t="s">
        <v>28</v>
      </c>
    </row>
    <row r="13" spans="1:3" x14ac:dyDescent="0.25">
      <c r="A13" t="s">
        <v>29</v>
      </c>
      <c r="B13" t="s">
        <v>30</v>
      </c>
      <c r="C13" s="3">
        <v>1.11E-2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3526E-FB4F-4A82-9554-8B6F5F8300E1}">
  <sheetPr>
    <tabColor rgb="FFC47F2A"/>
  </sheetPr>
  <dimension ref="A1:D7"/>
  <sheetViews>
    <sheetView workbookViewId="0"/>
  </sheetViews>
  <sheetFormatPr defaultRowHeight="15" x14ac:dyDescent="0.25"/>
  <cols>
    <col min="1" max="1" width="18.7109375" customWidth="1"/>
    <col min="2" max="3" width="16.7109375" customWidth="1"/>
    <col min="4" max="4" width="26.7109375" customWidth="1"/>
  </cols>
  <sheetData>
    <row r="1" spans="1:4" x14ac:dyDescent="0.25">
      <c r="A1" s="1" t="s">
        <v>31</v>
      </c>
      <c r="B1" s="1" t="s">
        <v>32</v>
      </c>
      <c r="C1" s="1" t="s">
        <v>33</v>
      </c>
      <c r="D1" s="1" t="s">
        <v>34</v>
      </c>
    </row>
    <row r="2" spans="1:4" x14ac:dyDescent="0.25">
      <c r="A2" t="s">
        <v>21</v>
      </c>
      <c r="B2">
        <v>1016750</v>
      </c>
      <c r="C2">
        <v>39541253</v>
      </c>
      <c r="D2">
        <v>31.97</v>
      </c>
    </row>
    <row r="3" spans="1:4" x14ac:dyDescent="0.25">
      <c r="A3" t="s">
        <v>35</v>
      </c>
      <c r="B3">
        <v>847942</v>
      </c>
      <c r="C3">
        <v>35264819</v>
      </c>
      <c r="D3">
        <v>26.66</v>
      </c>
    </row>
    <row r="4" spans="1:4" x14ac:dyDescent="0.25">
      <c r="A4" t="s">
        <v>36</v>
      </c>
      <c r="B4">
        <v>672415</v>
      </c>
      <c r="C4">
        <v>14666852</v>
      </c>
      <c r="D4">
        <v>21.14</v>
      </c>
    </row>
    <row r="5" spans="1:4" x14ac:dyDescent="0.25">
      <c r="A5" t="s">
        <v>37</v>
      </c>
      <c r="B5">
        <v>520286</v>
      </c>
      <c r="C5">
        <v>59826124</v>
      </c>
      <c r="D5">
        <v>16.36</v>
      </c>
    </row>
    <row r="6" spans="1:4" x14ac:dyDescent="0.25">
      <c r="A6" t="s">
        <v>38</v>
      </c>
      <c r="B6">
        <v>121784</v>
      </c>
      <c r="C6">
        <v>4649741</v>
      </c>
      <c r="D6">
        <v>3.83</v>
      </c>
    </row>
    <row r="7" spans="1:4" x14ac:dyDescent="0.25">
      <c r="A7" t="s">
        <v>39</v>
      </c>
      <c r="B7">
        <v>1046</v>
      </c>
      <c r="C7">
        <v>119970</v>
      </c>
      <c r="D7">
        <v>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C278-BD94-4E18-9898-C77AB8B8EC7D}">
  <sheetPr>
    <tabColor rgb="FF1A89D4"/>
  </sheetPr>
  <dimension ref="A1:G11"/>
  <sheetViews>
    <sheetView workbookViewId="0"/>
  </sheetViews>
  <sheetFormatPr defaultRowHeight="15" x14ac:dyDescent="0.25"/>
  <cols>
    <col min="1" max="1" width="6.7109375" customWidth="1"/>
    <col min="2" max="2" width="18.7109375" customWidth="1"/>
    <col min="3" max="3" width="16.7109375" customWidth="1"/>
    <col min="4" max="5" width="14.7109375" customWidth="1"/>
    <col min="6" max="6" width="8.7109375" customWidth="1"/>
    <col min="7" max="7" width="32.7109375" customWidth="1"/>
  </cols>
  <sheetData>
    <row r="1" spans="1:7" x14ac:dyDescent="0.25">
      <c r="A1" s="1" t="s">
        <v>40</v>
      </c>
      <c r="B1" s="1" t="s">
        <v>41</v>
      </c>
      <c r="C1" s="1" t="s">
        <v>31</v>
      </c>
      <c r="D1" s="1" t="s">
        <v>32</v>
      </c>
      <c r="E1" s="1" t="s">
        <v>33</v>
      </c>
      <c r="F1" s="1" t="s">
        <v>42</v>
      </c>
      <c r="G1" s="1" t="s">
        <v>43</v>
      </c>
    </row>
    <row r="2" spans="1:7" x14ac:dyDescent="0.25">
      <c r="A2">
        <v>1</v>
      </c>
      <c r="B2" t="s">
        <v>24</v>
      </c>
      <c r="C2" t="s">
        <v>35</v>
      </c>
      <c r="D2">
        <v>576232</v>
      </c>
      <c r="E2">
        <v>32337511</v>
      </c>
      <c r="F2">
        <v>1.78</v>
      </c>
    </row>
    <row r="3" spans="1:7" x14ac:dyDescent="0.25">
      <c r="A3">
        <v>2</v>
      </c>
      <c r="B3" t="s">
        <v>44</v>
      </c>
      <c r="C3" t="s">
        <v>36</v>
      </c>
      <c r="D3">
        <v>403781</v>
      </c>
      <c r="E3">
        <v>14659011</v>
      </c>
      <c r="F3">
        <v>2.75</v>
      </c>
    </row>
    <row r="4" spans="1:7" x14ac:dyDescent="0.25">
      <c r="A4">
        <v>3</v>
      </c>
      <c r="B4" t="s">
        <v>27</v>
      </c>
      <c r="C4" t="s">
        <v>35</v>
      </c>
      <c r="D4">
        <v>216907</v>
      </c>
      <c r="E4">
        <v>234936</v>
      </c>
      <c r="F4">
        <v>9.25</v>
      </c>
      <c r="G4" t="s">
        <v>45</v>
      </c>
    </row>
    <row r="5" spans="1:7" x14ac:dyDescent="0.25">
      <c r="A5">
        <v>4</v>
      </c>
      <c r="B5" t="s">
        <v>30</v>
      </c>
      <c r="C5" t="s">
        <v>37</v>
      </c>
      <c r="D5">
        <v>211853</v>
      </c>
      <c r="E5">
        <v>19093942</v>
      </c>
      <c r="F5">
        <v>1.1100000000000001</v>
      </c>
    </row>
    <row r="6" spans="1:7" x14ac:dyDescent="0.25">
      <c r="A6">
        <v>5</v>
      </c>
      <c r="B6" t="s">
        <v>46</v>
      </c>
      <c r="C6" t="s">
        <v>21</v>
      </c>
      <c r="D6">
        <v>127775</v>
      </c>
      <c r="E6">
        <v>4433660</v>
      </c>
      <c r="F6">
        <v>2.88</v>
      </c>
    </row>
    <row r="7" spans="1:7" x14ac:dyDescent="0.25">
      <c r="A7">
        <v>6</v>
      </c>
      <c r="B7" t="s">
        <v>47</v>
      </c>
      <c r="C7" t="s">
        <v>21</v>
      </c>
      <c r="D7">
        <v>120807</v>
      </c>
      <c r="E7">
        <v>4022653</v>
      </c>
      <c r="F7">
        <v>3</v>
      </c>
    </row>
    <row r="8" spans="1:7" x14ac:dyDescent="0.25">
      <c r="A8">
        <v>7</v>
      </c>
      <c r="B8" t="s">
        <v>48</v>
      </c>
      <c r="C8" t="s">
        <v>21</v>
      </c>
      <c r="D8">
        <v>108290</v>
      </c>
      <c r="E8">
        <v>4741672</v>
      </c>
      <c r="F8">
        <v>2.2799999999999998</v>
      </c>
    </row>
    <row r="9" spans="1:7" x14ac:dyDescent="0.25">
      <c r="A9">
        <v>8</v>
      </c>
      <c r="B9" t="s">
        <v>49</v>
      </c>
      <c r="C9" t="s">
        <v>21</v>
      </c>
      <c r="D9">
        <v>104675</v>
      </c>
      <c r="E9">
        <v>5685483</v>
      </c>
      <c r="F9">
        <v>1.84</v>
      </c>
    </row>
    <row r="10" spans="1:7" x14ac:dyDescent="0.25">
      <c r="A10">
        <v>9</v>
      </c>
      <c r="B10" t="s">
        <v>50</v>
      </c>
      <c r="C10" t="s">
        <v>21</v>
      </c>
      <c r="D10">
        <v>83097</v>
      </c>
      <c r="E10">
        <v>3398813</v>
      </c>
      <c r="F10">
        <v>2.44</v>
      </c>
    </row>
    <row r="11" spans="1:7" x14ac:dyDescent="0.25">
      <c r="A11">
        <v>10</v>
      </c>
      <c r="B11" t="s">
        <v>51</v>
      </c>
      <c r="C11" t="s">
        <v>21</v>
      </c>
      <c r="D11">
        <v>78216</v>
      </c>
      <c r="E11">
        <v>3519120</v>
      </c>
      <c r="F11">
        <v>2.2200000000000002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45DCB-E7B6-4E5D-9B6A-153F10ACD420}">
  <sheetPr>
    <tabColor rgb="FF50B93F"/>
  </sheetPr>
  <dimension ref="A1:E17"/>
  <sheetViews>
    <sheetView topLeftCell="B1" workbookViewId="0">
      <selection sqref="A1:E17"/>
    </sheetView>
  </sheetViews>
  <sheetFormatPr defaultRowHeight="15" x14ac:dyDescent="0.25"/>
  <cols>
    <col min="1" max="1" width="12.7109375" customWidth="1"/>
    <col min="2" max="2" width="7.7109375" customWidth="1"/>
    <col min="3" max="3" width="14.7109375" customWidth="1"/>
    <col min="4" max="4" width="18.7109375" customWidth="1"/>
    <col min="5" max="5" width="30.7109375" customWidth="1"/>
  </cols>
  <sheetData>
    <row r="1" spans="1:5" x14ac:dyDescent="0.25">
      <c r="A1" s="1" t="s">
        <v>52</v>
      </c>
      <c r="B1" s="1" t="s">
        <v>53</v>
      </c>
      <c r="C1" s="1" t="s">
        <v>54</v>
      </c>
      <c r="D1" s="1" t="s">
        <v>55</v>
      </c>
      <c r="E1" s="1" t="s">
        <v>56</v>
      </c>
    </row>
    <row r="2" spans="1:5" x14ac:dyDescent="0.25">
      <c r="A2" s="4">
        <v>43831</v>
      </c>
      <c r="B2">
        <v>2020</v>
      </c>
      <c r="C2">
        <v>196</v>
      </c>
      <c r="D2">
        <v>196</v>
      </c>
      <c r="E2" t="s">
        <v>57</v>
      </c>
    </row>
    <row r="3" spans="1:5" x14ac:dyDescent="0.25">
      <c r="A3" s="4">
        <v>43862</v>
      </c>
      <c r="B3">
        <v>2020</v>
      </c>
      <c r="C3">
        <v>2723</v>
      </c>
      <c r="D3">
        <v>2919</v>
      </c>
      <c r="E3" t="s">
        <v>57</v>
      </c>
    </row>
    <row r="4" spans="1:5" x14ac:dyDescent="0.25">
      <c r="A4" s="4">
        <v>43891</v>
      </c>
      <c r="B4">
        <v>2020</v>
      </c>
      <c r="C4">
        <v>41581</v>
      </c>
      <c r="D4">
        <v>44500</v>
      </c>
      <c r="E4" t="s">
        <v>58</v>
      </c>
    </row>
    <row r="5" spans="1:5" x14ac:dyDescent="0.25">
      <c r="A5" s="4">
        <v>43922</v>
      </c>
      <c r="B5">
        <v>2020</v>
      </c>
      <c r="C5">
        <v>192885</v>
      </c>
      <c r="D5">
        <v>237385</v>
      </c>
      <c r="E5" t="s">
        <v>59</v>
      </c>
    </row>
    <row r="6" spans="1:5" x14ac:dyDescent="0.25">
      <c r="A6" s="4">
        <v>43952</v>
      </c>
      <c r="B6">
        <v>2020</v>
      </c>
      <c r="C6">
        <v>137618</v>
      </c>
      <c r="D6">
        <v>375003</v>
      </c>
      <c r="E6" t="s">
        <v>60</v>
      </c>
    </row>
    <row r="7" spans="1:5" x14ac:dyDescent="0.25">
      <c r="A7" s="4">
        <v>43983</v>
      </c>
      <c r="B7">
        <v>2020</v>
      </c>
      <c r="C7">
        <v>133145</v>
      </c>
      <c r="D7">
        <v>508148</v>
      </c>
      <c r="E7" t="s">
        <v>61</v>
      </c>
    </row>
    <row r="8" spans="1:5" x14ac:dyDescent="0.25">
      <c r="A8" s="4">
        <v>44013</v>
      </c>
      <c r="B8">
        <v>2020</v>
      </c>
      <c r="C8">
        <v>167327</v>
      </c>
      <c r="D8">
        <v>675475</v>
      </c>
      <c r="E8" t="s">
        <v>61</v>
      </c>
    </row>
    <row r="9" spans="1:5" x14ac:dyDescent="0.25">
      <c r="A9" s="4">
        <v>44044</v>
      </c>
      <c r="B9">
        <v>2020</v>
      </c>
      <c r="C9">
        <v>175564</v>
      </c>
      <c r="D9">
        <v>851039</v>
      </c>
      <c r="E9" t="s">
        <v>61</v>
      </c>
    </row>
    <row r="10" spans="1:5" x14ac:dyDescent="0.25">
      <c r="A10" s="4">
        <v>44075</v>
      </c>
      <c r="B10">
        <v>2020</v>
      </c>
      <c r="C10">
        <v>163905</v>
      </c>
      <c r="D10">
        <v>1014944</v>
      </c>
      <c r="E10" t="s">
        <v>62</v>
      </c>
    </row>
    <row r="11" spans="1:5" x14ac:dyDescent="0.25">
      <c r="A11" s="4">
        <v>44105</v>
      </c>
      <c r="B11">
        <v>2020</v>
      </c>
      <c r="C11">
        <v>181802</v>
      </c>
      <c r="D11">
        <v>1196746</v>
      </c>
      <c r="E11" t="s">
        <v>63</v>
      </c>
    </row>
    <row r="12" spans="1:5" x14ac:dyDescent="0.25">
      <c r="A12" s="4">
        <v>44136</v>
      </c>
      <c r="B12">
        <v>2020</v>
      </c>
      <c r="C12">
        <v>274821</v>
      </c>
      <c r="D12">
        <v>1471567</v>
      </c>
      <c r="E12" t="s">
        <v>64</v>
      </c>
    </row>
    <row r="13" spans="1:5" x14ac:dyDescent="0.25">
      <c r="A13" s="4">
        <v>44166</v>
      </c>
      <c r="B13">
        <v>2020</v>
      </c>
      <c r="C13">
        <v>353343</v>
      </c>
      <c r="D13">
        <v>1824910</v>
      </c>
      <c r="E13" t="s">
        <v>65</v>
      </c>
    </row>
    <row r="14" spans="1:5" x14ac:dyDescent="0.25">
      <c r="A14" s="4">
        <v>44197</v>
      </c>
      <c r="B14">
        <v>2021</v>
      </c>
      <c r="C14">
        <v>411021</v>
      </c>
      <c r="D14">
        <v>2235931</v>
      </c>
      <c r="E14" t="s">
        <v>66</v>
      </c>
    </row>
    <row r="15" spans="1:5" x14ac:dyDescent="0.25">
      <c r="A15" s="4">
        <v>44228</v>
      </c>
      <c r="B15">
        <v>2021</v>
      </c>
      <c r="C15">
        <v>297465</v>
      </c>
      <c r="D15">
        <v>2533396</v>
      </c>
      <c r="E15" t="s">
        <v>67</v>
      </c>
    </row>
    <row r="16" spans="1:5" x14ac:dyDescent="0.25">
      <c r="A16" s="4">
        <v>44256</v>
      </c>
      <c r="B16">
        <v>2021</v>
      </c>
      <c r="C16">
        <v>282654</v>
      </c>
      <c r="D16">
        <v>2816050</v>
      </c>
      <c r="E16" t="s">
        <v>68</v>
      </c>
    </row>
    <row r="17" spans="1:5" x14ac:dyDescent="0.25">
      <c r="A17" s="4">
        <v>44287</v>
      </c>
      <c r="B17">
        <v>2021</v>
      </c>
      <c r="C17">
        <v>364156</v>
      </c>
      <c r="D17">
        <v>3180206</v>
      </c>
      <c r="E17" t="s">
        <v>69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D86D-B8A8-4987-BAA4-B71F2AB89676}">
  <dimension ref="A1:AD80"/>
  <sheetViews>
    <sheetView showGridLines="0" tabSelected="1" workbookViewId="0">
      <selection activeCell="N63" sqref="N63"/>
    </sheetView>
  </sheetViews>
  <sheetFormatPr defaultRowHeight="15" x14ac:dyDescent="0.25"/>
  <cols>
    <col min="1" max="14" width="10.28515625" customWidth="1"/>
    <col min="17" max="17" width="13.85546875" customWidth="1"/>
    <col min="18" max="18" width="19.85546875" customWidth="1"/>
    <col min="21" max="21" width="12" customWidth="1"/>
    <col min="22" max="22" width="14.140625" customWidth="1"/>
    <col min="23" max="23" width="13" customWidth="1"/>
    <col min="26" max="26" width="10.140625" customWidth="1"/>
    <col min="27" max="27" width="13" customWidth="1"/>
    <col min="28" max="28" width="14.140625" customWidth="1"/>
    <col min="29" max="29" width="15.28515625" customWidth="1"/>
  </cols>
  <sheetData>
    <row r="1" spans="1:30" ht="30" customHeight="1" x14ac:dyDescent="0.4">
      <c r="A1" s="41" t="s">
        <v>72</v>
      </c>
      <c r="B1" s="39"/>
      <c r="C1" s="39"/>
      <c r="D1" s="39"/>
      <c r="E1" s="39"/>
      <c r="F1" s="39"/>
      <c r="G1" s="39"/>
      <c r="H1" s="39"/>
      <c r="I1" s="39"/>
      <c r="J1" s="39"/>
      <c r="K1" s="39"/>
      <c r="L1" s="39"/>
      <c r="M1" s="39"/>
      <c r="N1" s="39"/>
      <c r="P1" t="s">
        <v>52</v>
      </c>
      <c r="Q1" t="s">
        <v>54</v>
      </c>
      <c r="R1" t="s">
        <v>55</v>
      </c>
      <c r="S1" t="s">
        <v>56</v>
      </c>
      <c r="U1" t="s">
        <v>31</v>
      </c>
      <c r="V1" t="s">
        <v>32</v>
      </c>
      <c r="W1" t="s">
        <v>33</v>
      </c>
      <c r="Z1" t="s">
        <v>41</v>
      </c>
      <c r="AA1" t="s">
        <v>33</v>
      </c>
      <c r="AB1" t="s">
        <v>32</v>
      </c>
      <c r="AC1" t="s">
        <v>80</v>
      </c>
      <c r="AD1" t="s">
        <v>81</v>
      </c>
    </row>
    <row r="2" spans="1:30" ht="20.100000000000001" customHeight="1" x14ac:dyDescent="0.25">
      <c r="A2" s="42" t="s">
        <v>73</v>
      </c>
      <c r="B2" s="40"/>
      <c r="C2" s="40"/>
      <c r="D2" s="40"/>
      <c r="E2" s="40"/>
      <c r="F2" s="40"/>
      <c r="G2" s="40"/>
      <c r="H2" s="40"/>
      <c r="I2" s="40"/>
      <c r="J2" s="40"/>
      <c r="K2" s="40"/>
      <c r="L2" s="40"/>
      <c r="M2" s="40"/>
      <c r="N2" s="40"/>
      <c r="P2" s="4">
        <f>'Monthly Trend'!A2</f>
        <v>43831</v>
      </c>
      <c r="Q2">
        <f>'Monthly Trend'!C2</f>
        <v>196</v>
      </c>
      <c r="R2">
        <f>'Monthly Trend'!D2</f>
        <v>196</v>
      </c>
      <c r="S2" t="str">
        <f>'Monthly Trend'!E2</f>
        <v>Pre-wave</v>
      </c>
      <c r="U2" t="str">
        <f>'Continent Analysis'!A2</f>
        <v>Africa</v>
      </c>
      <c r="V2">
        <f>'Continent Analysis'!C2</f>
        <v>121784</v>
      </c>
      <c r="W2">
        <f>'Continent Analysis'!B2</f>
        <v>4557699</v>
      </c>
      <c r="Z2" t="str">
        <f>'Country Analysis'!A2</f>
        <v>United States</v>
      </c>
      <c r="AA2">
        <f>'Country Analysis'!B2</f>
        <v>32346971</v>
      </c>
      <c r="AB2">
        <f>'Country Analysis'!C2</f>
        <v>576232</v>
      </c>
      <c r="AC2" t="str">
        <f>Z2</f>
        <v>United States</v>
      </c>
      <c r="AD2" s="10">
        <f>AB2/AA2</f>
        <v>1.7814094556179619E-2</v>
      </c>
    </row>
    <row r="3" spans="1:30" ht="8.1" customHeight="1" x14ac:dyDescent="0.25">
      <c r="A3" s="38"/>
      <c r="B3" s="38"/>
      <c r="C3" s="38"/>
      <c r="D3" s="38"/>
      <c r="E3" s="38"/>
      <c r="F3" s="38"/>
      <c r="G3" s="38"/>
      <c r="H3" s="38"/>
      <c r="I3" s="38"/>
      <c r="J3" s="38"/>
      <c r="K3" s="38"/>
      <c r="L3" s="38"/>
      <c r="M3" s="38"/>
      <c r="N3" s="38"/>
      <c r="P3" s="4">
        <f>'Monthly Trend'!A3</f>
        <v>43862</v>
      </c>
      <c r="Q3">
        <f>'Monthly Trend'!C3</f>
        <v>2723</v>
      </c>
      <c r="R3">
        <f>'Monthly Trend'!D3</f>
        <v>2919</v>
      </c>
      <c r="S3" t="str">
        <f>'Monthly Trend'!E3</f>
        <v>Pre-wave</v>
      </c>
      <c r="U3" t="str">
        <f>'Continent Analysis'!A3</f>
        <v>Asia</v>
      </c>
      <c r="V3">
        <f>'Continent Analysis'!C3</f>
        <v>520286</v>
      </c>
      <c r="W3">
        <f>'Continent Analysis'!B3</f>
        <v>39526308</v>
      </c>
      <c r="Z3" t="str">
        <f>'Country Analysis'!A3</f>
        <v>Brazil</v>
      </c>
      <c r="AA3">
        <f>'Country Analysis'!B3</f>
        <v>14659011</v>
      </c>
      <c r="AB3">
        <f>'Country Analysis'!C3</f>
        <v>403781</v>
      </c>
      <c r="AC3" t="str">
        <f t="shared" ref="AC3:AC11" si="0">Z3</f>
        <v>Brazil</v>
      </c>
      <c r="AD3" s="10">
        <f t="shared" ref="AD3:AD11" si="1">AB3/AA3</f>
        <v>2.7544900539333794E-2</v>
      </c>
    </row>
    <row r="4" spans="1:30" ht="15.95" customHeight="1" x14ac:dyDescent="0.25">
      <c r="A4" s="49" t="s">
        <v>74</v>
      </c>
      <c r="B4" s="43"/>
      <c r="C4" s="43"/>
      <c r="D4" s="49" t="s">
        <v>75</v>
      </c>
      <c r="E4" s="43"/>
      <c r="F4" s="43"/>
      <c r="G4" s="49" t="s">
        <v>76</v>
      </c>
      <c r="H4" s="43"/>
      <c r="I4" s="43"/>
      <c r="J4" s="49" t="s">
        <v>78</v>
      </c>
      <c r="K4" s="43"/>
      <c r="L4" s="47"/>
      <c r="M4" s="38"/>
      <c r="N4" s="38"/>
      <c r="P4" s="4">
        <f>'Monthly Trend'!A4</f>
        <v>43891</v>
      </c>
      <c r="Q4">
        <f>'Monthly Trend'!C4</f>
        <v>41581</v>
      </c>
      <c r="R4">
        <f>'Monthly Trend'!D4</f>
        <v>44500</v>
      </c>
      <c r="S4" t="str">
        <f>'Monthly Trend'!E4</f>
        <v>1st Wave rising</v>
      </c>
      <c r="U4" t="str">
        <f>'Continent Analysis'!A4</f>
        <v>Europe</v>
      </c>
      <c r="V4">
        <f>'Continent Analysis'!C4</f>
        <v>1016750</v>
      </c>
      <c r="W4">
        <f>'Continent Analysis'!B4</f>
        <v>44863478</v>
      </c>
      <c r="Z4" t="str">
        <f>'Country Analysis'!A4</f>
        <v>Mexico</v>
      </c>
      <c r="AA4">
        <f>'Country Analysis'!B4</f>
        <v>2344755</v>
      </c>
      <c r="AB4">
        <f>'Country Analysis'!C4</f>
        <v>216907</v>
      </c>
      <c r="AC4" t="str">
        <f t="shared" si="0"/>
        <v>Mexico</v>
      </c>
      <c r="AD4" s="10">
        <f t="shared" si="1"/>
        <v>9.2507319528053036E-2</v>
      </c>
    </row>
    <row r="5" spans="1:30" ht="33.950000000000003" customHeight="1" x14ac:dyDescent="0.25">
      <c r="A5" s="50">
        <f>Summary!B3</f>
        <v>151398759</v>
      </c>
      <c r="B5" s="44"/>
      <c r="C5" s="44"/>
      <c r="D5" s="52">
        <f>Summary!B2</f>
        <v>3180223</v>
      </c>
      <c r="E5" s="44"/>
      <c r="F5" s="44"/>
      <c r="G5" s="54">
        <f>Summary!B4</f>
        <v>2.1000000000000001E-2</v>
      </c>
      <c r="H5" s="53"/>
      <c r="I5" s="53"/>
      <c r="J5" s="56" t="str">
        <f>Summary!B5</f>
        <v>185+</v>
      </c>
      <c r="K5" s="45"/>
      <c r="L5" s="55"/>
      <c r="M5" s="38"/>
      <c r="N5" s="38"/>
      <c r="P5" s="4">
        <f>'Monthly Trend'!A5</f>
        <v>43922</v>
      </c>
      <c r="Q5">
        <f>'Monthly Trend'!C5</f>
        <v>192885</v>
      </c>
      <c r="R5">
        <f>'Monthly Trend'!D5</f>
        <v>237385</v>
      </c>
      <c r="S5" t="str">
        <f>'Monthly Trend'!E5</f>
        <v>1st Wave peak</v>
      </c>
      <c r="U5" t="str">
        <f>'Continent Analysis'!A5</f>
        <v>North America</v>
      </c>
      <c r="V5">
        <f>'Continent Analysis'!C5</f>
        <v>847942</v>
      </c>
      <c r="W5">
        <f>'Continent Analysis'!B5</f>
        <v>37529488</v>
      </c>
      <c r="Z5" t="str">
        <f>'Country Analysis'!A5</f>
        <v>India</v>
      </c>
      <c r="AA5">
        <f>'Country Analysis'!B5</f>
        <v>19164969</v>
      </c>
      <c r="AB5">
        <f>'Country Analysis'!C5</f>
        <v>211853</v>
      </c>
      <c r="AC5" t="str">
        <f t="shared" si="0"/>
        <v>India</v>
      </c>
      <c r="AD5" s="10">
        <f t="shared" si="1"/>
        <v>1.1054179111899425E-2</v>
      </c>
    </row>
    <row r="6" spans="1:30" ht="15.95" customHeight="1" x14ac:dyDescent="0.25">
      <c r="A6" s="51" t="s">
        <v>4</v>
      </c>
      <c r="B6" s="46"/>
      <c r="C6" s="46"/>
      <c r="D6" s="51" t="s">
        <v>4</v>
      </c>
      <c r="E6" s="46"/>
      <c r="F6" s="46"/>
      <c r="G6" s="51" t="s">
        <v>77</v>
      </c>
      <c r="H6" s="46"/>
      <c r="I6" s="46"/>
      <c r="J6" s="51" t="s">
        <v>79</v>
      </c>
      <c r="K6" s="46"/>
      <c r="L6" s="48"/>
      <c r="M6" s="38"/>
      <c r="N6" s="38"/>
      <c r="P6" s="4">
        <f>'Monthly Trend'!A6</f>
        <v>43952</v>
      </c>
      <c r="Q6">
        <f>'Monthly Trend'!C6</f>
        <v>137618</v>
      </c>
      <c r="R6">
        <f>'Monthly Trend'!D6</f>
        <v>375003</v>
      </c>
      <c r="S6" t="str">
        <f>'Monthly Trend'!E6</f>
        <v>1st Wave declining</v>
      </c>
      <c r="U6" t="str">
        <f>'Continent Analysis'!A6</f>
        <v>Oceania</v>
      </c>
      <c r="V6">
        <f>'Continent Analysis'!C6</f>
        <v>1046</v>
      </c>
      <c r="W6">
        <f>'Continent Analysis'!B6</f>
        <v>43570</v>
      </c>
      <c r="Z6" t="str">
        <f>'Country Analysis'!A6</f>
        <v>United Kingdom</v>
      </c>
      <c r="AA6">
        <f>'Country Analysis'!B6</f>
        <v>4432246</v>
      </c>
      <c r="AB6">
        <f>'Country Analysis'!C6</f>
        <v>127775</v>
      </c>
      <c r="AC6" t="str">
        <f t="shared" si="0"/>
        <v>United Kingdom</v>
      </c>
      <c r="AD6" s="10">
        <f t="shared" si="1"/>
        <v>2.8828499140165054E-2</v>
      </c>
    </row>
    <row r="7" spans="1:30" ht="14.1" customHeight="1" x14ac:dyDescent="0.25">
      <c r="A7" s="38"/>
      <c r="B7" s="38"/>
      <c r="C7" s="38"/>
      <c r="D7" s="38"/>
      <c r="E7" s="38"/>
      <c r="F7" s="38"/>
      <c r="G7" s="38"/>
      <c r="H7" s="38"/>
      <c r="I7" s="38"/>
      <c r="J7" s="38"/>
      <c r="K7" s="38"/>
      <c r="L7" s="38"/>
      <c r="M7" s="38"/>
      <c r="N7" s="38"/>
      <c r="P7" s="4">
        <f>'Monthly Trend'!A7</f>
        <v>43983</v>
      </c>
      <c r="Q7">
        <f>'Monthly Trend'!C7</f>
        <v>133145</v>
      </c>
      <c r="R7">
        <f>'Monthly Trend'!D7</f>
        <v>508148</v>
      </c>
      <c r="S7" t="str">
        <f>'Monthly Trend'!E7</f>
        <v>Inter-wave</v>
      </c>
      <c r="U7" t="str">
        <f>'Continent Analysis'!A7</f>
        <v>South America</v>
      </c>
      <c r="V7">
        <f>'Continent Analysis'!C7</f>
        <v>672415</v>
      </c>
      <c r="W7">
        <f>'Continent Analysis'!B7</f>
        <v>24878216</v>
      </c>
      <c r="Z7" t="str">
        <f>'Country Analysis'!A7</f>
        <v>Italy</v>
      </c>
      <c r="AA7">
        <f>'Country Analysis'!B7</f>
        <v>4022653</v>
      </c>
      <c r="AB7">
        <f>'Country Analysis'!C7</f>
        <v>120807</v>
      </c>
      <c r="AC7" t="str">
        <f t="shared" si="0"/>
        <v>Italy</v>
      </c>
      <c r="AD7" s="10">
        <f t="shared" si="1"/>
        <v>3.0031673127162595E-2</v>
      </c>
    </row>
    <row r="8" spans="1:30" x14ac:dyDescent="0.25">
      <c r="A8" s="38"/>
      <c r="B8" s="38"/>
      <c r="C8" s="38"/>
      <c r="D8" s="38"/>
      <c r="E8" s="38"/>
      <c r="F8" s="38"/>
      <c r="G8" s="38"/>
      <c r="H8" s="38"/>
      <c r="I8" s="38"/>
      <c r="J8" s="38"/>
      <c r="K8" s="38"/>
      <c r="L8" s="38"/>
      <c r="M8" s="38"/>
      <c r="N8" s="38"/>
      <c r="P8" s="4">
        <f>'Monthly Trend'!A8</f>
        <v>44013</v>
      </c>
      <c r="Q8">
        <f>'Monthly Trend'!C8</f>
        <v>167327</v>
      </c>
      <c r="R8">
        <f>'Monthly Trend'!D8</f>
        <v>675475</v>
      </c>
      <c r="S8" t="str">
        <f>'Monthly Trend'!E8</f>
        <v>Inter-wave</v>
      </c>
      <c r="Z8" t="str">
        <f>'Country Analysis'!A8</f>
        <v>Russia</v>
      </c>
      <c r="AA8">
        <f>'Country Analysis'!B8</f>
        <v>4750755</v>
      </c>
      <c r="AB8">
        <f>'Country Analysis'!C8</f>
        <v>108290</v>
      </c>
      <c r="AC8" t="str">
        <f t="shared" si="0"/>
        <v>Russia</v>
      </c>
      <c r="AD8" s="10">
        <f t="shared" si="1"/>
        <v>2.2794271647348683E-2</v>
      </c>
    </row>
    <row r="9" spans="1:30" x14ac:dyDescent="0.25">
      <c r="A9" s="38"/>
      <c r="B9" s="38"/>
      <c r="C9" s="38"/>
      <c r="D9" s="38"/>
      <c r="E9" s="38"/>
      <c r="F9" s="38"/>
      <c r="G9" s="38"/>
      <c r="H9" s="38"/>
      <c r="I9" s="38"/>
      <c r="J9" s="38"/>
      <c r="K9" s="38"/>
      <c r="L9" s="38"/>
      <c r="M9" s="38"/>
      <c r="N9" s="38"/>
      <c r="P9" s="4">
        <f>'Monthly Trend'!A9</f>
        <v>44044</v>
      </c>
      <c r="Q9">
        <f>'Monthly Trend'!C9</f>
        <v>175564</v>
      </c>
      <c r="R9">
        <f>'Monthly Trend'!D9</f>
        <v>851039</v>
      </c>
      <c r="S9" t="str">
        <f>'Monthly Trend'!E9</f>
        <v>Inter-wave</v>
      </c>
      <c r="Z9" t="str">
        <f>'Country Analysis'!A9</f>
        <v>France</v>
      </c>
      <c r="AA9">
        <f>'Country Analysis'!B9</f>
        <v>5677835</v>
      </c>
      <c r="AB9">
        <f>'Country Analysis'!C9</f>
        <v>104675</v>
      </c>
      <c r="AC9" t="str">
        <f t="shared" si="0"/>
        <v>France</v>
      </c>
      <c r="AD9" s="10">
        <f t="shared" si="1"/>
        <v>1.8435724180079202E-2</v>
      </c>
    </row>
    <row r="10" spans="1:30" x14ac:dyDescent="0.25">
      <c r="A10" s="38"/>
      <c r="B10" s="38"/>
      <c r="C10" s="38"/>
      <c r="D10" s="38"/>
      <c r="E10" s="38"/>
      <c r="F10" s="38"/>
      <c r="G10" s="38"/>
      <c r="H10" s="38"/>
      <c r="I10" s="38"/>
      <c r="J10" s="38"/>
      <c r="K10" s="38"/>
      <c r="L10" s="38"/>
      <c r="M10" s="38"/>
      <c r="N10" s="38"/>
      <c r="P10" s="4">
        <f>'Monthly Trend'!A10</f>
        <v>44075</v>
      </c>
      <c r="Q10">
        <f>'Monthly Trend'!C10</f>
        <v>163905</v>
      </c>
      <c r="R10">
        <f>'Monthly Trend'!D10</f>
        <v>1014944</v>
      </c>
      <c r="S10" t="str">
        <f>'Monthly Trend'!E10</f>
        <v>2nd Wave early</v>
      </c>
      <c r="Z10" t="str">
        <f>'Country Analysis'!A10</f>
        <v>Germany</v>
      </c>
      <c r="AA10">
        <f>'Country Analysis'!B10</f>
        <v>3405365</v>
      </c>
      <c r="AB10">
        <f>'Country Analysis'!C10</f>
        <v>83097</v>
      </c>
      <c r="AC10" t="str">
        <f t="shared" si="0"/>
        <v>Germany</v>
      </c>
      <c r="AD10" s="10">
        <f t="shared" si="1"/>
        <v>2.4401789529169413E-2</v>
      </c>
    </row>
    <row r="11" spans="1:30" x14ac:dyDescent="0.25">
      <c r="A11" s="38"/>
      <c r="B11" s="38"/>
      <c r="C11" s="38"/>
      <c r="D11" s="38"/>
      <c r="E11" s="38"/>
      <c r="F11" s="38"/>
      <c r="G11" s="38"/>
      <c r="H11" s="38"/>
      <c r="I11" s="38"/>
      <c r="J11" s="38"/>
      <c r="K11" s="38"/>
      <c r="L11" s="38"/>
      <c r="M11" s="38"/>
      <c r="N11" s="38"/>
      <c r="P11" s="4">
        <f>'Monthly Trend'!A11</f>
        <v>44105</v>
      </c>
      <c r="Q11">
        <f>'Monthly Trend'!C11</f>
        <v>181802</v>
      </c>
      <c r="R11">
        <f>'Monthly Trend'!D11</f>
        <v>1196746</v>
      </c>
      <c r="S11" t="str">
        <f>'Monthly Trend'!E11</f>
        <v>2nd Wave rising</v>
      </c>
      <c r="Z11" t="str">
        <f>'Country Analysis'!A11</f>
        <v>Spain</v>
      </c>
      <c r="AA11">
        <f>'Country Analysis'!B11</f>
        <v>3524077</v>
      </c>
      <c r="AB11">
        <f>'Country Analysis'!C11</f>
        <v>78216</v>
      </c>
      <c r="AC11" t="str">
        <f t="shared" si="0"/>
        <v>Spain</v>
      </c>
      <c r="AD11" s="10">
        <f t="shared" si="1"/>
        <v>2.2194747731108033E-2</v>
      </c>
    </row>
    <row r="12" spans="1:30" x14ac:dyDescent="0.25">
      <c r="A12" s="38"/>
      <c r="B12" s="38"/>
      <c r="C12" s="38"/>
      <c r="D12" s="38"/>
      <c r="E12" s="38"/>
      <c r="F12" s="38"/>
      <c r="G12" s="38"/>
      <c r="H12" s="38"/>
      <c r="I12" s="38"/>
      <c r="J12" s="38"/>
      <c r="K12" s="38"/>
      <c r="L12" s="38"/>
      <c r="M12" s="38"/>
      <c r="N12" s="38"/>
      <c r="P12" s="4">
        <f>'Monthly Trend'!A12</f>
        <v>44136</v>
      </c>
      <c r="Q12">
        <f>'Monthly Trend'!C12</f>
        <v>274821</v>
      </c>
      <c r="R12">
        <f>'Monthly Trend'!D12</f>
        <v>1471567</v>
      </c>
      <c r="S12" t="str">
        <f>'Monthly Trend'!E12</f>
        <v>2nd Wave accelerating</v>
      </c>
    </row>
    <row r="13" spans="1:30" x14ac:dyDescent="0.25">
      <c r="A13" s="38"/>
      <c r="B13" s="38"/>
      <c r="C13" s="38"/>
      <c r="D13" s="38"/>
      <c r="E13" s="38"/>
      <c r="F13" s="38"/>
      <c r="G13" s="38"/>
      <c r="H13" s="38"/>
      <c r="I13" s="38"/>
      <c r="J13" s="38"/>
      <c r="K13" s="38"/>
      <c r="L13" s="38"/>
      <c r="M13" s="38"/>
      <c r="N13" s="38"/>
      <c r="P13" s="4">
        <f>'Monthly Trend'!A13</f>
        <v>44166</v>
      </c>
      <c r="Q13">
        <f>'Monthly Trend'!C13</f>
        <v>353343</v>
      </c>
      <c r="R13">
        <f>'Monthly Trend'!D13</f>
        <v>1824910</v>
      </c>
      <c r="S13" t="str">
        <f>'Monthly Trend'!E13</f>
        <v>2nd Wave peak</v>
      </c>
    </row>
    <row r="14" spans="1:30" x14ac:dyDescent="0.25">
      <c r="A14" s="38"/>
      <c r="B14" s="38"/>
      <c r="C14" s="38"/>
      <c r="D14" s="38"/>
      <c r="E14" s="38"/>
      <c r="F14" s="38"/>
      <c r="G14" s="38"/>
      <c r="H14" s="38"/>
      <c r="I14" s="38"/>
      <c r="J14" s="38"/>
      <c r="K14" s="38"/>
      <c r="L14" s="38"/>
      <c r="M14" s="38"/>
      <c r="N14" s="38"/>
      <c r="P14" s="4">
        <f>'Monthly Trend'!A14</f>
        <v>44197</v>
      </c>
      <c r="Q14">
        <f>'Monthly Trend'!C14</f>
        <v>411021</v>
      </c>
      <c r="R14">
        <f>'Monthly Trend'!D14</f>
        <v>2235931</v>
      </c>
      <c r="S14" t="str">
        <f>'Monthly Trend'!E14</f>
        <v>2nd Wave peak (highest month)</v>
      </c>
    </row>
    <row r="15" spans="1:30" x14ac:dyDescent="0.25">
      <c r="A15" s="38"/>
      <c r="B15" s="38"/>
      <c r="C15" s="38"/>
      <c r="D15" s="38"/>
      <c r="E15" s="38"/>
      <c r="F15" s="38"/>
      <c r="G15" s="38"/>
      <c r="H15" s="38"/>
      <c r="I15" s="38"/>
      <c r="J15" s="38"/>
      <c r="K15" s="38"/>
      <c r="L15" s="38"/>
      <c r="M15" s="38"/>
      <c r="N15" s="38"/>
      <c r="P15" s="4">
        <f>'Monthly Trend'!A15</f>
        <v>44228</v>
      </c>
      <c r="Q15">
        <f>'Monthly Trend'!C15</f>
        <v>297465</v>
      </c>
      <c r="R15">
        <f>'Monthly Trend'!D15</f>
        <v>2533396</v>
      </c>
      <c r="S15" t="str">
        <f>'Monthly Trend'!E15</f>
        <v>2nd Wave declining</v>
      </c>
    </row>
    <row r="16" spans="1:30" x14ac:dyDescent="0.25">
      <c r="A16" s="38"/>
      <c r="B16" s="38"/>
      <c r="C16" s="38"/>
      <c r="D16" s="38"/>
      <c r="E16" s="38"/>
      <c r="F16" s="38"/>
      <c r="G16" s="38"/>
      <c r="H16" s="38"/>
      <c r="I16" s="38"/>
      <c r="J16" s="38"/>
      <c r="K16" s="38"/>
      <c r="L16" s="38"/>
      <c r="M16" s="38"/>
      <c r="N16" s="38"/>
      <c r="P16" s="4">
        <f>'Monthly Trend'!A16</f>
        <v>44256</v>
      </c>
      <c r="Q16">
        <f>'Monthly Trend'!C16</f>
        <v>282654</v>
      </c>
      <c r="R16">
        <f>'Monthly Trend'!D16</f>
        <v>2816050</v>
      </c>
      <c r="S16" t="str">
        <f>'Monthly Trend'!E16</f>
        <v>3rd Wave early</v>
      </c>
    </row>
    <row r="17" spans="1:19" x14ac:dyDescent="0.25">
      <c r="A17" s="38"/>
      <c r="B17" s="38"/>
      <c r="C17" s="38"/>
      <c r="D17" s="38"/>
      <c r="E17" s="38"/>
      <c r="F17" s="38"/>
      <c r="G17" s="38"/>
      <c r="H17" s="38"/>
      <c r="I17" s="38"/>
      <c r="J17" s="38"/>
      <c r="K17" s="38"/>
      <c r="L17" s="38"/>
      <c r="M17" s="38"/>
      <c r="N17" s="38"/>
      <c r="P17" s="4">
        <f>'Monthly Trend'!A17</f>
        <v>44287</v>
      </c>
      <c r="Q17">
        <f>'Monthly Trend'!C17</f>
        <v>364156</v>
      </c>
      <c r="R17">
        <f>'Monthly Trend'!D17</f>
        <v>3180206</v>
      </c>
      <c r="S17" t="str">
        <f>'Monthly Trend'!E17</f>
        <v>3rd Wave rising</v>
      </c>
    </row>
    <row r="18" spans="1:19" x14ac:dyDescent="0.25">
      <c r="A18" s="38"/>
      <c r="B18" s="38"/>
      <c r="C18" s="38"/>
      <c r="D18" s="38"/>
      <c r="E18" s="38"/>
      <c r="F18" s="38"/>
      <c r="G18" s="38"/>
      <c r="H18" s="38"/>
      <c r="I18" s="38"/>
      <c r="J18" s="38"/>
      <c r="K18" s="38"/>
      <c r="L18" s="38"/>
      <c r="M18" s="38"/>
      <c r="N18" s="38"/>
    </row>
    <row r="19" spans="1:19" x14ac:dyDescent="0.25">
      <c r="A19" s="38"/>
      <c r="B19" s="38"/>
      <c r="C19" s="38"/>
      <c r="D19" s="38"/>
      <c r="E19" s="38"/>
      <c r="F19" s="38"/>
      <c r="G19" s="38"/>
      <c r="H19" s="38"/>
      <c r="I19" s="38"/>
      <c r="J19" s="38"/>
      <c r="K19" s="38"/>
      <c r="L19" s="38"/>
      <c r="M19" s="38"/>
      <c r="N19" s="38"/>
    </row>
    <row r="20" spans="1:19" x14ac:dyDescent="0.25">
      <c r="A20" s="38"/>
      <c r="B20" s="38"/>
      <c r="C20" s="38"/>
      <c r="D20" s="38"/>
      <c r="E20" s="38"/>
      <c r="F20" s="38"/>
      <c r="G20" s="38"/>
      <c r="H20" s="38"/>
      <c r="I20" s="38"/>
      <c r="J20" s="38"/>
      <c r="K20" s="38"/>
      <c r="L20" s="38"/>
      <c r="M20" s="38"/>
      <c r="N20" s="38"/>
    </row>
    <row r="21" spans="1:19" x14ac:dyDescent="0.25">
      <c r="A21" s="38"/>
      <c r="B21" s="38"/>
      <c r="C21" s="38"/>
      <c r="D21" s="38"/>
      <c r="E21" s="38"/>
      <c r="F21" s="38"/>
      <c r="G21" s="38"/>
      <c r="H21" s="38"/>
      <c r="I21" s="38"/>
      <c r="J21" s="38"/>
      <c r="K21" s="38"/>
      <c r="L21" s="38"/>
      <c r="M21" s="38"/>
      <c r="N21" s="38"/>
    </row>
    <row r="22" spans="1:19" x14ac:dyDescent="0.25">
      <c r="A22" s="38"/>
      <c r="B22" s="38"/>
      <c r="C22" s="38"/>
      <c r="D22" s="38"/>
      <c r="E22" s="38"/>
      <c r="F22" s="38"/>
      <c r="G22" s="38"/>
      <c r="H22" s="38"/>
      <c r="I22" s="38"/>
      <c r="J22" s="38"/>
      <c r="K22" s="38"/>
      <c r="L22" s="38"/>
      <c r="M22" s="38"/>
      <c r="N22" s="38"/>
    </row>
    <row r="23" spans="1:19" x14ac:dyDescent="0.25">
      <c r="A23" s="38"/>
      <c r="B23" s="38"/>
      <c r="C23" s="38"/>
      <c r="D23" s="38"/>
      <c r="E23" s="38"/>
      <c r="F23" s="38"/>
      <c r="G23" s="38"/>
      <c r="H23" s="38"/>
      <c r="I23" s="38"/>
      <c r="J23" s="38"/>
      <c r="K23" s="38"/>
      <c r="L23" s="38"/>
      <c r="M23" s="38"/>
      <c r="N23" s="38"/>
    </row>
    <row r="24" spans="1:19" x14ac:dyDescent="0.25">
      <c r="A24" s="38"/>
      <c r="B24" s="38"/>
      <c r="C24" s="38"/>
      <c r="D24" s="38"/>
      <c r="E24" s="38"/>
      <c r="F24" s="38"/>
      <c r="G24" s="38"/>
      <c r="H24" s="38"/>
      <c r="I24" s="38"/>
      <c r="J24" s="38"/>
      <c r="K24" s="38"/>
      <c r="L24" s="38"/>
      <c r="M24" s="38"/>
      <c r="N24" s="38"/>
    </row>
    <row r="25" spans="1:19" x14ac:dyDescent="0.25">
      <c r="A25" s="38"/>
      <c r="B25" s="38"/>
      <c r="C25" s="38"/>
      <c r="D25" s="38"/>
      <c r="E25" s="38"/>
      <c r="F25" s="38"/>
      <c r="G25" s="38"/>
      <c r="H25" s="38"/>
      <c r="I25" s="38"/>
      <c r="J25" s="38"/>
      <c r="K25" s="38"/>
      <c r="L25" s="38"/>
      <c r="M25" s="38"/>
      <c r="N25" s="38"/>
    </row>
    <row r="26" spans="1:19" x14ac:dyDescent="0.25">
      <c r="A26" s="38"/>
      <c r="B26" s="38"/>
      <c r="C26" s="38"/>
      <c r="D26" s="38"/>
      <c r="E26" s="38"/>
      <c r="F26" s="38"/>
      <c r="G26" s="38"/>
      <c r="H26" s="38"/>
      <c r="I26" s="38"/>
      <c r="J26" s="38"/>
      <c r="K26" s="38"/>
      <c r="L26" s="38"/>
      <c r="M26" s="38"/>
      <c r="N26" s="38"/>
    </row>
    <row r="27" spans="1:19" x14ac:dyDescent="0.25">
      <c r="A27" s="38"/>
      <c r="B27" s="38"/>
      <c r="C27" s="38"/>
      <c r="D27" s="38"/>
      <c r="E27" s="38"/>
      <c r="F27" s="38"/>
      <c r="G27" s="38"/>
      <c r="H27" s="38"/>
      <c r="I27" s="38"/>
      <c r="J27" s="38"/>
      <c r="K27" s="38"/>
      <c r="L27" s="38"/>
      <c r="M27" s="38"/>
      <c r="N27" s="38"/>
    </row>
    <row r="28" spans="1:19" x14ac:dyDescent="0.25">
      <c r="A28" s="38"/>
      <c r="B28" s="38"/>
      <c r="C28" s="38"/>
      <c r="D28" s="38"/>
      <c r="E28" s="38"/>
      <c r="F28" s="38"/>
      <c r="G28" s="38"/>
      <c r="H28" s="38"/>
      <c r="I28" s="38"/>
      <c r="J28" s="38"/>
      <c r="K28" s="38"/>
      <c r="L28" s="38"/>
      <c r="M28" s="38"/>
      <c r="N28" s="38"/>
    </row>
    <row r="29" spans="1:19" x14ac:dyDescent="0.25">
      <c r="A29" s="38"/>
      <c r="B29" s="38"/>
      <c r="C29" s="38"/>
      <c r="D29" s="38"/>
      <c r="E29" s="38"/>
      <c r="F29" s="38"/>
      <c r="G29" s="38"/>
      <c r="H29" s="38"/>
      <c r="I29" s="38"/>
      <c r="J29" s="38"/>
      <c r="K29" s="38"/>
      <c r="L29" s="38"/>
      <c r="M29" s="38"/>
      <c r="N29" s="38"/>
    </row>
    <row r="30" spans="1:19" x14ac:dyDescent="0.25">
      <c r="A30" s="38"/>
      <c r="B30" s="38"/>
      <c r="C30" s="38"/>
      <c r="D30" s="38"/>
      <c r="E30" s="38"/>
      <c r="F30" s="38"/>
      <c r="G30" s="38"/>
      <c r="H30" s="38"/>
      <c r="I30" s="38"/>
      <c r="J30" s="38"/>
      <c r="K30" s="38"/>
      <c r="L30" s="38"/>
      <c r="M30" s="38"/>
      <c r="N30" s="38"/>
    </row>
    <row r="31" spans="1:19" x14ac:dyDescent="0.25">
      <c r="A31" s="38"/>
      <c r="B31" s="38"/>
      <c r="C31" s="38"/>
      <c r="D31" s="38"/>
      <c r="E31" s="38"/>
      <c r="F31" s="38"/>
      <c r="G31" s="38"/>
      <c r="H31" s="38"/>
      <c r="I31" s="38"/>
      <c r="J31" s="38"/>
      <c r="K31" s="38"/>
      <c r="L31" s="38"/>
      <c r="M31" s="38"/>
      <c r="N31" s="38"/>
    </row>
    <row r="32" spans="1:19" x14ac:dyDescent="0.25">
      <c r="A32" s="38"/>
      <c r="B32" s="38"/>
      <c r="C32" s="38"/>
      <c r="D32" s="38"/>
      <c r="E32" s="38"/>
      <c r="F32" s="38"/>
      <c r="G32" s="38"/>
      <c r="H32" s="38"/>
      <c r="I32" s="38"/>
      <c r="J32" s="38"/>
      <c r="K32" s="38"/>
      <c r="L32" s="38"/>
      <c r="M32" s="38"/>
      <c r="N32" s="38"/>
    </row>
    <row r="33" spans="1:14" x14ac:dyDescent="0.25">
      <c r="A33" s="38"/>
      <c r="B33" s="38"/>
      <c r="C33" s="38"/>
      <c r="D33" s="38"/>
      <c r="E33" s="38"/>
      <c r="F33" s="38"/>
      <c r="G33" s="38"/>
      <c r="H33" s="38"/>
      <c r="I33" s="38"/>
      <c r="J33" s="38"/>
      <c r="K33" s="38"/>
      <c r="L33" s="38"/>
      <c r="M33" s="38"/>
      <c r="N33" s="38"/>
    </row>
    <row r="34" spans="1:14" x14ac:dyDescent="0.25">
      <c r="A34" s="38"/>
      <c r="B34" s="38"/>
      <c r="C34" s="38"/>
      <c r="D34" s="38"/>
      <c r="E34" s="38"/>
      <c r="F34" s="38"/>
      <c r="G34" s="38"/>
      <c r="H34" s="38"/>
      <c r="I34" s="38"/>
      <c r="J34" s="38"/>
      <c r="K34" s="38"/>
      <c r="L34" s="38"/>
      <c r="M34" s="38"/>
      <c r="N34" s="38"/>
    </row>
    <row r="35" spans="1:14" x14ac:dyDescent="0.25">
      <c r="A35" s="38"/>
      <c r="B35" s="38"/>
      <c r="C35" s="38"/>
      <c r="D35" s="38"/>
      <c r="E35" s="38"/>
      <c r="F35" s="38"/>
      <c r="G35" s="38"/>
      <c r="H35" s="38"/>
      <c r="I35" s="38"/>
      <c r="J35" s="38"/>
      <c r="K35" s="38"/>
      <c r="L35" s="38"/>
      <c r="M35" s="38"/>
      <c r="N35" s="38"/>
    </row>
    <row r="36" spans="1:14" x14ac:dyDescent="0.25">
      <c r="A36" s="38"/>
      <c r="B36" s="38"/>
      <c r="C36" s="38"/>
      <c r="D36" s="38"/>
      <c r="E36" s="38"/>
      <c r="F36" s="38"/>
      <c r="G36" s="38"/>
      <c r="H36" s="38"/>
      <c r="I36" s="38"/>
      <c r="J36" s="38"/>
      <c r="K36" s="38"/>
      <c r="L36" s="38"/>
      <c r="M36" s="38"/>
      <c r="N36" s="38"/>
    </row>
    <row r="37" spans="1:14" x14ac:dyDescent="0.25">
      <c r="A37" s="38"/>
      <c r="B37" s="38"/>
      <c r="C37" s="38"/>
      <c r="D37" s="38"/>
      <c r="E37" s="38"/>
      <c r="F37" s="38"/>
      <c r="G37" s="38"/>
      <c r="H37" s="38"/>
      <c r="I37" s="38"/>
      <c r="J37" s="38"/>
      <c r="K37" s="38"/>
      <c r="L37" s="38"/>
      <c r="M37" s="38"/>
      <c r="N37" s="38"/>
    </row>
    <row r="38" spans="1:14" x14ac:dyDescent="0.25">
      <c r="A38" s="38"/>
      <c r="B38" s="38"/>
      <c r="C38" s="38"/>
      <c r="D38" s="38"/>
      <c r="E38" s="38"/>
      <c r="F38" s="38"/>
      <c r="G38" s="38"/>
      <c r="H38" s="38"/>
      <c r="I38" s="38"/>
      <c r="J38" s="38"/>
      <c r="K38" s="38"/>
      <c r="L38" s="38"/>
      <c r="M38" s="38"/>
      <c r="N38" s="38"/>
    </row>
    <row r="39" spans="1:14" x14ac:dyDescent="0.25">
      <c r="A39" s="38"/>
      <c r="B39" s="38"/>
      <c r="C39" s="38"/>
      <c r="D39" s="38"/>
      <c r="E39" s="38"/>
      <c r="F39" s="38"/>
      <c r="G39" s="38"/>
      <c r="H39" s="38"/>
      <c r="I39" s="38"/>
      <c r="J39" s="38"/>
      <c r="K39" s="38"/>
      <c r="L39" s="38"/>
      <c r="M39" s="38"/>
      <c r="N39" s="38"/>
    </row>
    <row r="40" spans="1:14" x14ac:dyDescent="0.25">
      <c r="A40" s="38"/>
      <c r="B40" s="38"/>
      <c r="C40" s="38"/>
      <c r="D40" s="38"/>
      <c r="E40" s="38"/>
      <c r="F40" s="38"/>
      <c r="G40" s="38"/>
      <c r="H40" s="38"/>
      <c r="I40" s="38"/>
      <c r="J40" s="38"/>
      <c r="K40" s="38"/>
      <c r="L40" s="38"/>
      <c r="M40" s="38"/>
      <c r="N40" s="38"/>
    </row>
    <row r="41" spans="1:14" x14ac:dyDescent="0.25">
      <c r="A41" s="38"/>
      <c r="B41" s="38"/>
      <c r="C41" s="38"/>
      <c r="D41" s="38"/>
      <c r="E41" s="38"/>
      <c r="F41" s="38"/>
      <c r="G41" s="38"/>
      <c r="H41" s="38"/>
      <c r="I41" s="38"/>
      <c r="J41" s="38"/>
      <c r="K41" s="38"/>
      <c r="L41" s="38"/>
      <c r="M41" s="38"/>
      <c r="N41" s="38"/>
    </row>
    <row r="42" spans="1:14" x14ac:dyDescent="0.25">
      <c r="A42" s="38"/>
      <c r="B42" s="38"/>
      <c r="C42" s="38"/>
      <c r="D42" s="38"/>
      <c r="E42" s="38"/>
      <c r="F42" s="38"/>
      <c r="G42" s="38"/>
      <c r="H42" s="38"/>
      <c r="I42" s="38"/>
      <c r="J42" s="38"/>
      <c r="K42" s="38"/>
      <c r="L42" s="38"/>
      <c r="M42" s="38"/>
      <c r="N42" s="38"/>
    </row>
    <row r="43" spans="1:14" x14ac:dyDescent="0.25">
      <c r="A43" s="38"/>
      <c r="B43" s="38"/>
      <c r="C43" s="38"/>
      <c r="D43" s="38"/>
      <c r="E43" s="38"/>
      <c r="F43" s="38"/>
      <c r="G43" s="38"/>
      <c r="H43" s="38"/>
      <c r="I43" s="38"/>
      <c r="J43" s="38"/>
      <c r="K43" s="38"/>
      <c r="L43" s="38"/>
      <c r="M43" s="38"/>
      <c r="N43" s="38"/>
    </row>
    <row r="44" spans="1:14" x14ac:dyDescent="0.25">
      <c r="A44" s="38"/>
      <c r="B44" s="38"/>
      <c r="C44" s="38"/>
      <c r="D44" s="38"/>
      <c r="E44" s="38"/>
      <c r="F44" s="38"/>
      <c r="G44" s="38"/>
      <c r="H44" s="38"/>
      <c r="I44" s="38"/>
      <c r="J44" s="38"/>
      <c r="K44" s="38"/>
      <c r="L44" s="38"/>
      <c r="M44" s="38"/>
      <c r="N44" s="38"/>
    </row>
    <row r="45" spans="1:14" x14ac:dyDescent="0.25">
      <c r="A45" s="38"/>
      <c r="B45" s="38"/>
      <c r="C45" s="38"/>
      <c r="D45" s="38"/>
      <c r="E45" s="38"/>
      <c r="F45" s="38"/>
      <c r="G45" s="38"/>
      <c r="H45" s="38"/>
      <c r="I45" s="38"/>
      <c r="J45" s="38"/>
      <c r="K45" s="38"/>
      <c r="L45" s="38"/>
      <c r="M45" s="38"/>
      <c r="N45" s="38"/>
    </row>
    <row r="46" spans="1:14" x14ac:dyDescent="0.25">
      <c r="A46" s="38"/>
      <c r="B46" s="38"/>
      <c r="C46" s="38"/>
      <c r="D46" s="38"/>
      <c r="E46" s="38"/>
      <c r="F46" s="38"/>
      <c r="G46" s="38"/>
      <c r="H46" s="38"/>
      <c r="I46" s="38"/>
      <c r="J46" s="38"/>
      <c r="K46" s="38"/>
      <c r="L46" s="38"/>
      <c r="M46" s="38"/>
      <c r="N46" s="38"/>
    </row>
    <row r="47" spans="1:14" x14ac:dyDescent="0.25">
      <c r="A47" s="38"/>
      <c r="B47" s="38"/>
      <c r="C47" s="38"/>
      <c r="D47" s="38"/>
      <c r="E47" s="38"/>
      <c r="F47" s="38"/>
      <c r="G47" s="38"/>
      <c r="H47" s="38"/>
      <c r="I47" s="38"/>
      <c r="J47" s="38"/>
      <c r="K47" s="38"/>
      <c r="L47" s="38"/>
      <c r="M47" s="38"/>
      <c r="N47" s="38"/>
    </row>
    <row r="48" spans="1:14" x14ac:dyDescent="0.25">
      <c r="A48" s="38"/>
      <c r="B48" s="38"/>
      <c r="C48" s="38"/>
      <c r="D48" s="38"/>
      <c r="E48" s="38"/>
      <c r="F48" s="38"/>
      <c r="G48" s="38"/>
      <c r="H48" s="38"/>
      <c r="I48" s="38"/>
      <c r="J48" s="38"/>
      <c r="K48" s="38"/>
      <c r="L48" s="38"/>
      <c r="M48" s="38"/>
      <c r="N48" s="38"/>
    </row>
    <row r="49" spans="1:14" x14ac:dyDescent="0.25">
      <c r="A49" s="38"/>
      <c r="B49" s="38"/>
      <c r="C49" s="38"/>
      <c r="D49" s="38"/>
      <c r="E49" s="38"/>
      <c r="F49" s="38"/>
      <c r="G49" s="38"/>
      <c r="H49" s="38"/>
      <c r="I49" s="38"/>
      <c r="J49" s="38"/>
      <c r="K49" s="38"/>
      <c r="L49" s="38"/>
      <c r="M49" s="38"/>
      <c r="N49" s="38"/>
    </row>
    <row r="50" spans="1:14" x14ac:dyDescent="0.25">
      <c r="A50" s="38"/>
      <c r="B50" s="38"/>
      <c r="C50" s="38"/>
      <c r="D50" s="38"/>
      <c r="E50" s="38"/>
      <c r="F50" s="38"/>
      <c r="G50" s="38"/>
      <c r="H50" s="38"/>
      <c r="I50" s="38"/>
      <c r="J50" s="38"/>
      <c r="K50" s="38"/>
      <c r="L50" s="38"/>
      <c r="M50" s="38"/>
      <c r="N50" s="38"/>
    </row>
    <row r="51" spans="1:14" x14ac:dyDescent="0.25">
      <c r="A51" s="38"/>
      <c r="B51" s="38"/>
      <c r="C51" s="38"/>
      <c r="D51" s="38"/>
      <c r="E51" s="38"/>
      <c r="F51" s="38"/>
      <c r="G51" s="38"/>
      <c r="H51" s="38"/>
      <c r="I51" s="38"/>
      <c r="J51" s="38"/>
      <c r="K51" s="38"/>
      <c r="L51" s="38"/>
      <c r="M51" s="38"/>
      <c r="N51" s="38"/>
    </row>
    <row r="52" spans="1:14" x14ac:dyDescent="0.25">
      <c r="A52" s="38"/>
      <c r="B52" s="38"/>
      <c r="C52" s="38"/>
      <c r="D52" s="38"/>
      <c r="E52" s="38"/>
      <c r="F52" s="38"/>
      <c r="G52" s="38"/>
      <c r="H52" s="38"/>
      <c r="I52" s="38"/>
      <c r="J52" s="38"/>
      <c r="K52" s="38"/>
      <c r="L52" s="38"/>
      <c r="M52" s="38"/>
      <c r="N52" s="38"/>
    </row>
    <row r="53" spans="1:14" x14ac:dyDescent="0.25">
      <c r="A53" s="38"/>
      <c r="B53" s="38"/>
      <c r="C53" s="38"/>
      <c r="D53" s="38"/>
      <c r="E53" s="38"/>
      <c r="F53" s="38"/>
      <c r="G53" s="38"/>
      <c r="H53" s="38"/>
      <c r="I53" s="38"/>
      <c r="J53" s="38"/>
      <c r="K53" s="38"/>
      <c r="L53" s="38"/>
      <c r="M53" s="38"/>
      <c r="N53" s="38"/>
    </row>
    <row r="54" spans="1:14" x14ac:dyDescent="0.25">
      <c r="A54" s="38"/>
      <c r="B54" s="38"/>
      <c r="C54" s="38"/>
      <c r="D54" s="38"/>
      <c r="E54" s="38"/>
      <c r="F54" s="38"/>
      <c r="G54" s="38"/>
      <c r="H54" s="38"/>
      <c r="I54" s="38"/>
      <c r="J54" s="38"/>
      <c r="K54" s="38"/>
      <c r="L54" s="38"/>
      <c r="M54" s="38"/>
      <c r="N54" s="38"/>
    </row>
    <row r="55" spans="1:14" x14ac:dyDescent="0.25">
      <c r="A55" s="38"/>
      <c r="B55" s="38"/>
      <c r="C55" s="38"/>
      <c r="D55" s="38"/>
      <c r="E55" s="38"/>
      <c r="F55" s="38"/>
      <c r="G55" s="38"/>
      <c r="H55" s="38"/>
      <c r="I55" s="38"/>
      <c r="J55" s="38"/>
      <c r="K55" s="38"/>
      <c r="L55" s="38"/>
      <c r="M55" s="38"/>
      <c r="N55" s="38"/>
    </row>
    <row r="56" spans="1:14" x14ac:dyDescent="0.25">
      <c r="A56" s="38"/>
      <c r="B56" s="38"/>
      <c r="C56" s="38"/>
      <c r="D56" s="38"/>
      <c r="E56" s="38"/>
      <c r="F56" s="38"/>
      <c r="G56" s="38"/>
      <c r="H56" s="38"/>
      <c r="I56" s="38"/>
      <c r="J56" s="38"/>
      <c r="K56" s="38"/>
      <c r="L56" s="38"/>
      <c r="M56" s="38"/>
      <c r="N56" s="38"/>
    </row>
    <row r="57" spans="1:14" x14ac:dyDescent="0.25">
      <c r="A57" s="38"/>
      <c r="B57" s="38"/>
      <c r="C57" s="38"/>
      <c r="D57" s="38"/>
      <c r="E57" s="38"/>
      <c r="F57" s="38"/>
      <c r="G57" s="38"/>
      <c r="H57" s="38"/>
      <c r="I57" s="38"/>
      <c r="J57" s="38"/>
      <c r="K57" s="38"/>
      <c r="L57" s="38"/>
      <c r="M57" s="38"/>
      <c r="N57" s="38"/>
    </row>
    <row r="58" spans="1:14" x14ac:dyDescent="0.25">
      <c r="A58" s="38"/>
      <c r="B58" s="38"/>
      <c r="C58" s="38"/>
      <c r="D58" s="38"/>
      <c r="E58" s="38"/>
      <c r="F58" s="38"/>
      <c r="G58" s="38"/>
      <c r="H58" s="38"/>
      <c r="I58" s="38"/>
      <c r="J58" s="38"/>
      <c r="K58" s="38"/>
      <c r="L58" s="38"/>
      <c r="M58" s="38"/>
      <c r="N58" s="38"/>
    </row>
    <row r="59" spans="1:14" x14ac:dyDescent="0.25">
      <c r="A59" s="38"/>
      <c r="B59" s="38"/>
      <c r="C59" s="38"/>
      <c r="D59" s="38"/>
      <c r="E59" s="38"/>
      <c r="F59" s="38"/>
      <c r="G59" s="38"/>
      <c r="H59" s="38"/>
      <c r="I59" s="38"/>
      <c r="J59" s="38"/>
      <c r="K59" s="38"/>
      <c r="L59" s="38"/>
      <c r="M59" s="38"/>
      <c r="N59" s="38"/>
    </row>
    <row r="60" spans="1:14" x14ac:dyDescent="0.25">
      <c r="A60" s="38"/>
      <c r="B60" s="38"/>
      <c r="C60" s="38"/>
      <c r="D60" s="38"/>
      <c r="E60" s="38"/>
      <c r="F60" s="38"/>
      <c r="G60" s="38"/>
      <c r="H60" s="38"/>
      <c r="I60" s="38"/>
      <c r="J60" s="38"/>
      <c r="K60" s="38"/>
      <c r="L60" s="38"/>
      <c r="M60" s="38"/>
      <c r="N60" s="38"/>
    </row>
    <row r="61" spans="1:14" x14ac:dyDescent="0.25">
      <c r="A61" s="38"/>
      <c r="B61" s="38"/>
      <c r="C61" s="38"/>
      <c r="D61" s="38"/>
      <c r="E61" s="38"/>
      <c r="F61" s="38"/>
      <c r="G61" s="38"/>
      <c r="H61" s="38"/>
      <c r="I61" s="38"/>
      <c r="J61" s="38"/>
      <c r="K61" s="38"/>
      <c r="L61" s="38"/>
      <c r="M61" s="38"/>
      <c r="N61" s="38"/>
    </row>
    <row r="62" spans="1:14" x14ac:dyDescent="0.25">
      <c r="A62" s="38"/>
      <c r="B62" s="38"/>
      <c r="C62" s="38"/>
      <c r="D62" s="38"/>
      <c r="E62" s="38"/>
      <c r="F62" s="38"/>
      <c r="G62" s="38"/>
      <c r="H62" s="38"/>
      <c r="I62" s="38"/>
      <c r="J62" s="38"/>
      <c r="K62" s="38"/>
      <c r="L62" s="38"/>
      <c r="M62" s="38"/>
      <c r="N62" s="38"/>
    </row>
    <row r="63" spans="1:14" x14ac:dyDescent="0.25">
      <c r="A63" s="38"/>
      <c r="B63" s="38"/>
      <c r="C63" s="38"/>
      <c r="D63" s="38"/>
      <c r="E63" s="38"/>
      <c r="F63" s="38"/>
      <c r="G63" s="38"/>
      <c r="H63" s="38"/>
      <c r="I63" s="38"/>
      <c r="J63" s="38"/>
      <c r="K63" s="38"/>
      <c r="L63" s="38"/>
      <c r="M63" s="38"/>
      <c r="N63" s="38"/>
    </row>
    <row r="64" spans="1:14" x14ac:dyDescent="0.25">
      <c r="A64" s="38"/>
      <c r="B64" s="38"/>
      <c r="C64" s="38"/>
      <c r="D64" s="38"/>
      <c r="E64" s="38"/>
      <c r="F64" s="38"/>
      <c r="G64" s="38"/>
      <c r="H64" s="38"/>
      <c r="I64" s="38"/>
      <c r="J64" s="38"/>
      <c r="K64" s="38"/>
      <c r="L64" s="38"/>
      <c r="M64" s="38"/>
      <c r="N64" s="38"/>
    </row>
    <row r="65" spans="1:14" x14ac:dyDescent="0.25">
      <c r="A65" s="38"/>
      <c r="B65" s="38"/>
      <c r="C65" s="38"/>
      <c r="D65" s="38"/>
      <c r="E65" s="38"/>
      <c r="F65" s="38"/>
      <c r="G65" s="38"/>
      <c r="H65" s="38"/>
      <c r="I65" s="38"/>
      <c r="J65" s="38"/>
      <c r="K65" s="38"/>
      <c r="L65" s="38"/>
      <c r="M65" s="38"/>
      <c r="N65" s="38"/>
    </row>
    <row r="66" spans="1:14" x14ac:dyDescent="0.25">
      <c r="A66" s="38"/>
      <c r="B66" s="38"/>
      <c r="C66" s="38"/>
      <c r="D66" s="38"/>
      <c r="E66" s="38"/>
      <c r="F66" s="38"/>
      <c r="G66" s="38"/>
      <c r="H66" s="38"/>
      <c r="I66" s="38"/>
      <c r="J66" s="38"/>
      <c r="K66" s="38"/>
      <c r="L66" s="38"/>
      <c r="M66" s="38"/>
      <c r="N66" s="38"/>
    </row>
    <row r="67" spans="1:14" x14ac:dyDescent="0.25">
      <c r="A67" s="38"/>
      <c r="B67" s="38"/>
      <c r="C67" s="38"/>
      <c r="D67" s="38"/>
      <c r="E67" s="38"/>
      <c r="F67" s="38"/>
      <c r="G67" s="38"/>
      <c r="H67" s="38"/>
      <c r="I67" s="38"/>
      <c r="J67" s="38"/>
      <c r="K67" s="38"/>
      <c r="L67" s="38"/>
      <c r="M67" s="38"/>
      <c r="N67" s="38"/>
    </row>
    <row r="68" spans="1:14" x14ac:dyDescent="0.25">
      <c r="A68" s="38"/>
      <c r="B68" s="38"/>
      <c r="C68" s="38"/>
      <c r="D68" s="38"/>
      <c r="E68" s="38"/>
      <c r="F68" s="38"/>
      <c r="G68" s="38"/>
      <c r="H68" s="38"/>
      <c r="I68" s="38"/>
      <c r="J68" s="38"/>
      <c r="K68" s="38"/>
      <c r="L68" s="38"/>
      <c r="M68" s="38"/>
      <c r="N68" s="38"/>
    </row>
    <row r="69" spans="1:14" x14ac:dyDescent="0.25">
      <c r="A69" s="38"/>
      <c r="B69" s="38"/>
      <c r="C69" s="38"/>
      <c r="D69" s="38"/>
      <c r="E69" s="38"/>
      <c r="F69" s="38"/>
      <c r="G69" s="38"/>
      <c r="H69" s="38"/>
      <c r="I69" s="38"/>
      <c r="J69" s="38"/>
      <c r="K69" s="38"/>
      <c r="L69" s="38"/>
      <c r="M69" s="38"/>
      <c r="N69" s="38"/>
    </row>
    <row r="70" spans="1:14" x14ac:dyDescent="0.25">
      <c r="A70" s="38"/>
      <c r="B70" s="38"/>
      <c r="C70" s="38"/>
      <c r="D70" s="38"/>
      <c r="E70" s="38"/>
      <c r="F70" s="38"/>
      <c r="G70" s="38"/>
      <c r="H70" s="38"/>
      <c r="I70" s="38"/>
      <c r="J70" s="38"/>
      <c r="K70" s="38"/>
      <c r="L70" s="38"/>
      <c r="M70" s="38"/>
      <c r="N70" s="38"/>
    </row>
    <row r="71" spans="1:14" x14ac:dyDescent="0.25">
      <c r="A71" s="38"/>
      <c r="B71" s="38"/>
      <c r="C71" s="38"/>
      <c r="D71" s="38"/>
      <c r="E71" s="38"/>
      <c r="F71" s="38"/>
      <c r="G71" s="38"/>
      <c r="H71" s="38"/>
      <c r="I71" s="38"/>
      <c r="J71" s="38"/>
      <c r="K71" s="38"/>
      <c r="L71" s="38"/>
      <c r="M71" s="38"/>
      <c r="N71" s="38"/>
    </row>
    <row r="72" spans="1:14" x14ac:dyDescent="0.25">
      <c r="A72" s="38"/>
      <c r="B72" s="38"/>
      <c r="C72" s="38"/>
      <c r="D72" s="38"/>
      <c r="E72" s="38"/>
      <c r="F72" s="38"/>
      <c r="G72" s="38"/>
      <c r="H72" s="38"/>
      <c r="I72" s="38"/>
      <c r="J72" s="38"/>
      <c r="K72" s="38"/>
      <c r="L72" s="38"/>
      <c r="M72" s="38"/>
      <c r="N72" s="38"/>
    </row>
    <row r="73" spans="1:14" x14ac:dyDescent="0.25">
      <c r="A73" s="38"/>
      <c r="B73" s="38"/>
      <c r="C73" s="38"/>
      <c r="D73" s="38"/>
      <c r="E73" s="38"/>
      <c r="F73" s="38"/>
      <c r="G73" s="38"/>
      <c r="H73" s="38"/>
      <c r="I73" s="38"/>
      <c r="J73" s="38"/>
      <c r="K73" s="38"/>
      <c r="L73" s="38"/>
      <c r="M73" s="38"/>
      <c r="N73" s="38"/>
    </row>
    <row r="74" spans="1:14" x14ac:dyDescent="0.25">
      <c r="A74" s="38"/>
      <c r="B74" s="38"/>
      <c r="C74" s="38"/>
      <c r="D74" s="38"/>
      <c r="E74" s="38"/>
      <c r="F74" s="38"/>
      <c r="G74" s="38"/>
      <c r="H74" s="38"/>
      <c r="I74" s="38"/>
      <c r="J74" s="38"/>
      <c r="K74" s="38"/>
      <c r="L74" s="38"/>
      <c r="M74" s="38"/>
      <c r="N74" s="38"/>
    </row>
    <row r="75" spans="1:14" x14ac:dyDescent="0.25">
      <c r="A75" s="38"/>
      <c r="B75" s="38"/>
      <c r="C75" s="38"/>
      <c r="D75" s="38"/>
      <c r="E75" s="38"/>
      <c r="F75" s="38"/>
      <c r="G75" s="38"/>
      <c r="H75" s="38"/>
      <c r="I75" s="38"/>
      <c r="J75" s="38"/>
      <c r="K75" s="38"/>
      <c r="L75" s="38"/>
      <c r="M75" s="38"/>
      <c r="N75" s="38"/>
    </row>
    <row r="76" spans="1:14" x14ac:dyDescent="0.25">
      <c r="A76" s="38"/>
      <c r="B76" s="38"/>
      <c r="C76" s="38"/>
      <c r="D76" s="38"/>
      <c r="E76" s="38"/>
      <c r="F76" s="38"/>
      <c r="G76" s="38"/>
      <c r="H76" s="38"/>
      <c r="I76" s="38"/>
      <c r="J76" s="38"/>
      <c r="K76" s="38"/>
      <c r="L76" s="38"/>
      <c r="M76" s="38"/>
      <c r="N76" s="38"/>
    </row>
    <row r="77" spans="1:14" x14ac:dyDescent="0.25">
      <c r="A77" s="38"/>
      <c r="B77" s="38"/>
      <c r="C77" s="38"/>
      <c r="D77" s="38"/>
      <c r="E77" s="38"/>
      <c r="F77" s="38"/>
      <c r="G77" s="38"/>
      <c r="H77" s="38"/>
      <c r="I77" s="38"/>
      <c r="J77" s="38"/>
      <c r="K77" s="38"/>
      <c r="L77" s="38"/>
      <c r="M77" s="38"/>
      <c r="N77" s="38"/>
    </row>
    <row r="78" spans="1:14" x14ac:dyDescent="0.25">
      <c r="A78" s="38"/>
      <c r="B78" s="38"/>
      <c r="C78" s="38"/>
      <c r="D78" s="38"/>
      <c r="E78" s="38"/>
      <c r="F78" s="38"/>
      <c r="G78" s="38"/>
      <c r="H78" s="38"/>
      <c r="I78" s="38"/>
      <c r="J78" s="38"/>
      <c r="K78" s="38"/>
      <c r="L78" s="38"/>
      <c r="M78" s="38"/>
      <c r="N78" s="38"/>
    </row>
    <row r="79" spans="1:14" x14ac:dyDescent="0.25">
      <c r="A79" s="38"/>
      <c r="B79" s="38"/>
      <c r="C79" s="38"/>
      <c r="D79" s="38"/>
      <c r="E79" s="38"/>
      <c r="F79" s="38"/>
      <c r="G79" s="38"/>
      <c r="H79" s="38"/>
      <c r="I79" s="38"/>
      <c r="J79" s="38"/>
      <c r="K79" s="38"/>
      <c r="L79" s="38"/>
      <c r="M79" s="38"/>
      <c r="N79" s="38"/>
    </row>
    <row r="80" spans="1:14" x14ac:dyDescent="0.25">
      <c r="A80" s="38"/>
      <c r="B80" s="38"/>
      <c r="C80" s="38"/>
      <c r="D80" s="38"/>
      <c r="E80" s="38"/>
      <c r="F80" s="38"/>
      <c r="G80" s="38"/>
      <c r="H80" s="38"/>
      <c r="I80" s="38"/>
      <c r="J80" s="38"/>
      <c r="K80" s="38"/>
      <c r="L80" s="38"/>
      <c r="M80" s="38"/>
      <c r="N80" s="38"/>
    </row>
  </sheetData>
  <mergeCells count="14">
    <mergeCell ref="G6:I6"/>
    <mergeCell ref="J4:L4"/>
    <mergeCell ref="J5:L5"/>
    <mergeCell ref="J6:L6"/>
    <mergeCell ref="A1:N1"/>
    <mergeCell ref="A2:N2"/>
    <mergeCell ref="A4:C4"/>
    <mergeCell ref="A5:C5"/>
    <mergeCell ref="A6:C6"/>
    <mergeCell ref="D4:F4"/>
    <mergeCell ref="D5:F5"/>
    <mergeCell ref="D6:F6"/>
    <mergeCell ref="G4:I4"/>
    <mergeCell ref="G5:I5"/>
  </mergeCells>
  <pageMargins left="0.7" right="0.7" top="0.75" bottom="0.75" header="0.3" footer="0.3"/>
  <drawing r:id="rId1"/>
  <tableParts count="3">
    <tablePart r:id="rId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7C2B-5FF5-468A-A1D5-7CA4A5ED3238}">
  <dimension ref="A1:N50"/>
  <sheetViews>
    <sheetView showGridLines="0" topLeftCell="A16" workbookViewId="0">
      <selection activeCell="S29" sqref="S29"/>
    </sheetView>
  </sheetViews>
  <sheetFormatPr defaultRowHeight="15" x14ac:dyDescent="0.25"/>
  <cols>
    <col min="1" max="14" width="10.28515625" customWidth="1"/>
  </cols>
  <sheetData>
    <row r="1" spans="1:14" ht="30" customHeight="1" x14ac:dyDescent="0.4">
      <c r="A1" s="28" t="s">
        <v>72</v>
      </c>
      <c r="B1" s="11"/>
      <c r="C1" s="11"/>
      <c r="D1" s="11"/>
      <c r="E1" s="11"/>
      <c r="F1" s="11"/>
      <c r="G1" s="11"/>
      <c r="H1" s="11"/>
      <c r="I1" s="11"/>
      <c r="J1" s="11"/>
      <c r="K1" s="11"/>
      <c r="L1" s="11"/>
      <c r="M1" s="11"/>
      <c r="N1" s="11"/>
    </row>
    <row r="2" spans="1:14" ht="20.100000000000001" customHeight="1" x14ac:dyDescent="0.25">
      <c r="A2" s="29" t="s">
        <v>73</v>
      </c>
      <c r="B2" s="12"/>
      <c r="C2" s="12"/>
      <c r="D2" s="12"/>
      <c r="E2" s="12"/>
      <c r="F2" s="12"/>
      <c r="G2" s="12"/>
      <c r="H2" s="12"/>
      <c r="I2" s="12"/>
      <c r="J2" s="12"/>
      <c r="K2" s="12"/>
      <c r="L2" s="12"/>
      <c r="M2" s="12"/>
      <c r="N2" s="12"/>
    </row>
    <row r="3" spans="1:14" ht="8.1" customHeight="1" x14ac:dyDescent="0.25">
      <c r="A3" s="27"/>
      <c r="B3" s="27"/>
      <c r="C3" s="27"/>
      <c r="D3" s="27"/>
      <c r="E3" s="27"/>
      <c r="F3" s="27"/>
      <c r="G3" s="27"/>
      <c r="H3" s="27"/>
      <c r="I3" s="27"/>
      <c r="J3" s="27"/>
      <c r="K3" s="27"/>
      <c r="L3" s="27"/>
      <c r="M3" s="27"/>
      <c r="N3" s="27"/>
    </row>
    <row r="4" spans="1:14" ht="15.95" customHeight="1" x14ac:dyDescent="0.25">
      <c r="A4" s="19" t="s">
        <v>74</v>
      </c>
      <c r="B4" s="13"/>
      <c r="C4" s="13"/>
      <c r="D4" s="19" t="s">
        <v>75</v>
      </c>
      <c r="E4" s="13"/>
      <c r="F4" s="13"/>
      <c r="G4" s="19" t="s">
        <v>76</v>
      </c>
      <c r="H4" s="13"/>
      <c r="I4" s="13"/>
      <c r="J4" s="19" t="s">
        <v>78</v>
      </c>
      <c r="K4" s="13"/>
      <c r="L4" s="17"/>
      <c r="M4" s="27"/>
      <c r="N4" s="27"/>
    </row>
    <row r="5" spans="1:14" ht="33.950000000000003" customHeight="1" x14ac:dyDescent="0.25">
      <c r="A5" s="20">
        <f>Summary!B3</f>
        <v>151398759</v>
      </c>
      <c r="B5" s="14"/>
      <c r="C5" s="14"/>
      <c r="D5" s="22">
        <f>Summary!B2</f>
        <v>3180223</v>
      </c>
      <c r="E5" s="14"/>
      <c r="F5" s="14"/>
      <c r="G5" s="24">
        <f>Summary!B4</f>
        <v>2.1000000000000001E-2</v>
      </c>
      <c r="H5" s="23"/>
      <c r="I5" s="23"/>
      <c r="J5" s="26" t="str">
        <f>Summary!B5</f>
        <v>185+</v>
      </c>
      <c r="K5" s="15"/>
      <c r="L5" s="25"/>
      <c r="M5" s="27"/>
      <c r="N5" s="27"/>
    </row>
    <row r="6" spans="1:14" ht="15.95" customHeight="1" x14ac:dyDescent="0.25">
      <c r="A6" s="21" t="s">
        <v>4</v>
      </c>
      <c r="B6" s="16"/>
      <c r="C6" s="16"/>
      <c r="D6" s="21" t="s">
        <v>4</v>
      </c>
      <c r="E6" s="16"/>
      <c r="F6" s="16"/>
      <c r="G6" s="21" t="s">
        <v>77</v>
      </c>
      <c r="H6" s="16"/>
      <c r="I6" s="16"/>
      <c r="J6" s="21" t="s">
        <v>79</v>
      </c>
      <c r="K6" s="16"/>
      <c r="L6" s="18"/>
      <c r="M6" s="27"/>
      <c r="N6" s="27"/>
    </row>
    <row r="7" spans="1:14" ht="14.1" customHeight="1" x14ac:dyDescent="0.25">
      <c r="A7" s="27"/>
      <c r="B7" s="27"/>
      <c r="C7" s="27"/>
      <c r="D7" s="27"/>
      <c r="E7" s="27"/>
      <c r="F7" s="27"/>
      <c r="G7" s="27"/>
      <c r="H7" s="27"/>
      <c r="I7" s="27"/>
      <c r="J7" s="27"/>
      <c r="K7" s="27"/>
      <c r="L7" s="27"/>
      <c r="M7" s="27"/>
      <c r="N7" s="27"/>
    </row>
    <row r="8" spans="1:14" x14ac:dyDescent="0.25">
      <c r="A8" s="27"/>
      <c r="B8" s="27"/>
      <c r="C8" s="27"/>
      <c r="D8" s="27"/>
      <c r="E8" s="27"/>
      <c r="F8" s="27"/>
      <c r="G8" s="27"/>
      <c r="H8" s="27"/>
      <c r="I8" s="27"/>
      <c r="J8" s="27"/>
      <c r="K8" s="27"/>
      <c r="L8" s="27"/>
      <c r="M8" s="27"/>
      <c r="N8" s="27"/>
    </row>
    <row r="9" spans="1:14" x14ac:dyDescent="0.25">
      <c r="A9" s="27"/>
      <c r="B9" s="27"/>
      <c r="C9" s="27"/>
      <c r="D9" s="27"/>
      <c r="E9" s="27"/>
      <c r="F9" s="27"/>
      <c r="G9" s="27"/>
      <c r="H9" s="27"/>
      <c r="I9" s="27"/>
      <c r="J9" s="27"/>
      <c r="K9" s="27"/>
      <c r="L9" s="27"/>
      <c r="M9" s="27"/>
      <c r="N9" s="27"/>
    </row>
    <row r="10" spans="1:14" x14ac:dyDescent="0.25">
      <c r="A10" s="27"/>
      <c r="B10" s="27"/>
      <c r="C10" s="27"/>
      <c r="D10" s="27"/>
      <c r="E10" s="27"/>
      <c r="F10" s="27"/>
      <c r="G10" s="27"/>
      <c r="H10" s="27"/>
      <c r="I10" s="27"/>
      <c r="J10" s="27"/>
      <c r="K10" s="27"/>
      <c r="L10" s="27"/>
      <c r="M10" s="27"/>
      <c r="N10" s="27"/>
    </row>
    <row r="11" spans="1:14" x14ac:dyDescent="0.25">
      <c r="A11" s="27"/>
      <c r="B11" s="27"/>
      <c r="C11" s="27"/>
      <c r="D11" s="27"/>
      <c r="E11" s="27"/>
      <c r="F11" s="27"/>
      <c r="G11" s="27"/>
      <c r="H11" s="27"/>
      <c r="I11" s="27"/>
      <c r="J11" s="27"/>
      <c r="K11" s="27"/>
      <c r="L11" s="27"/>
      <c r="M11" s="27"/>
      <c r="N11" s="27"/>
    </row>
    <row r="12" spans="1:14" x14ac:dyDescent="0.25">
      <c r="A12" s="27"/>
      <c r="B12" s="27"/>
      <c r="C12" s="27"/>
      <c r="D12" s="27"/>
      <c r="E12" s="27"/>
      <c r="F12" s="27"/>
      <c r="G12" s="27"/>
      <c r="H12" s="27"/>
      <c r="I12" s="27"/>
      <c r="J12" s="27"/>
      <c r="K12" s="27"/>
      <c r="L12" s="27"/>
      <c r="M12" s="27"/>
      <c r="N12" s="27"/>
    </row>
    <row r="13" spans="1:14" x14ac:dyDescent="0.25">
      <c r="A13" s="27"/>
      <c r="B13" s="27"/>
      <c r="C13" s="27"/>
      <c r="D13" s="27"/>
      <c r="E13" s="27"/>
      <c r="F13" s="27"/>
      <c r="G13" s="27"/>
      <c r="H13" s="27"/>
      <c r="I13" s="27"/>
      <c r="J13" s="27"/>
      <c r="K13" s="27"/>
      <c r="L13" s="27"/>
      <c r="M13" s="27"/>
      <c r="N13" s="27"/>
    </row>
    <row r="14" spans="1:14" x14ac:dyDescent="0.25">
      <c r="A14" s="27"/>
      <c r="B14" s="27"/>
      <c r="C14" s="27"/>
      <c r="D14" s="27"/>
      <c r="E14" s="27"/>
      <c r="F14" s="27"/>
      <c r="G14" s="27"/>
      <c r="H14" s="27"/>
      <c r="I14" s="27"/>
      <c r="J14" s="27"/>
      <c r="K14" s="27"/>
      <c r="L14" s="27"/>
      <c r="M14" s="27"/>
      <c r="N14" s="27"/>
    </row>
    <row r="15" spans="1:14" x14ac:dyDescent="0.25">
      <c r="A15" s="27"/>
      <c r="B15" s="27"/>
      <c r="C15" s="27"/>
      <c r="D15" s="27"/>
      <c r="E15" s="27"/>
      <c r="F15" s="27"/>
      <c r="G15" s="27"/>
      <c r="H15" s="27"/>
      <c r="I15" s="27"/>
      <c r="J15" s="27"/>
      <c r="K15" s="27"/>
      <c r="L15" s="27"/>
      <c r="M15" s="27"/>
      <c r="N15" s="27"/>
    </row>
    <row r="16" spans="1:14" x14ac:dyDescent="0.25">
      <c r="A16" s="27"/>
      <c r="B16" s="27"/>
      <c r="C16" s="27"/>
      <c r="D16" s="27"/>
      <c r="E16" s="27"/>
      <c r="F16" s="27"/>
      <c r="G16" s="27"/>
      <c r="H16" s="27"/>
      <c r="I16" s="27"/>
      <c r="J16" s="27"/>
      <c r="K16" s="27"/>
      <c r="L16" s="27"/>
      <c r="M16" s="27"/>
      <c r="N16" s="27"/>
    </row>
    <row r="17" spans="1:14" x14ac:dyDescent="0.25">
      <c r="A17" s="27"/>
      <c r="B17" s="27"/>
      <c r="C17" s="27"/>
      <c r="D17" s="27"/>
      <c r="E17" s="27"/>
      <c r="F17" s="27"/>
      <c r="G17" s="27"/>
      <c r="H17" s="27"/>
      <c r="I17" s="27"/>
      <c r="J17" s="27"/>
      <c r="K17" s="27"/>
      <c r="L17" s="27"/>
      <c r="M17" s="27"/>
      <c r="N17" s="27"/>
    </row>
    <row r="18" spans="1:14" x14ac:dyDescent="0.25">
      <c r="A18" s="27"/>
      <c r="B18" s="27"/>
      <c r="C18" s="27"/>
      <c r="D18" s="27"/>
      <c r="E18" s="27"/>
      <c r="F18" s="27"/>
      <c r="G18" s="27"/>
      <c r="H18" s="27"/>
      <c r="I18" s="27"/>
      <c r="J18" s="27"/>
      <c r="K18" s="27"/>
      <c r="L18" s="27"/>
      <c r="M18" s="27"/>
      <c r="N18" s="27"/>
    </row>
    <row r="19" spans="1:14" x14ac:dyDescent="0.25">
      <c r="A19" s="27"/>
      <c r="B19" s="27"/>
      <c r="C19" s="27"/>
      <c r="D19" s="27"/>
      <c r="E19" s="27"/>
      <c r="F19" s="27"/>
      <c r="G19" s="27"/>
      <c r="H19" s="27"/>
      <c r="I19" s="27"/>
      <c r="J19" s="27"/>
      <c r="K19" s="27"/>
      <c r="L19" s="27"/>
      <c r="M19" s="27"/>
      <c r="N19" s="27"/>
    </row>
    <row r="20" spans="1:14" x14ac:dyDescent="0.25">
      <c r="A20" s="27"/>
      <c r="B20" s="27"/>
      <c r="C20" s="27"/>
      <c r="D20" s="27"/>
      <c r="E20" s="27"/>
      <c r="F20" s="27"/>
      <c r="G20" s="27"/>
      <c r="H20" s="27"/>
      <c r="I20" s="27"/>
      <c r="J20" s="27"/>
      <c r="K20" s="27"/>
      <c r="L20" s="27"/>
      <c r="M20" s="27"/>
      <c r="N20" s="27"/>
    </row>
    <row r="21" spans="1:14" x14ac:dyDescent="0.25">
      <c r="A21" s="27"/>
      <c r="B21" s="27"/>
      <c r="C21" s="27"/>
      <c r="D21" s="27"/>
      <c r="E21" s="27"/>
      <c r="F21" s="27"/>
      <c r="G21" s="27"/>
      <c r="H21" s="27"/>
      <c r="I21" s="27"/>
      <c r="J21" s="27"/>
      <c r="K21" s="27"/>
      <c r="L21" s="27"/>
      <c r="M21" s="27"/>
      <c r="N21" s="27"/>
    </row>
    <row r="22" spans="1:14" x14ac:dyDescent="0.25">
      <c r="A22" s="27"/>
      <c r="B22" s="27"/>
      <c r="C22" s="27"/>
      <c r="D22" s="27"/>
      <c r="E22" s="27"/>
      <c r="F22" s="27"/>
      <c r="G22" s="27"/>
      <c r="H22" s="27"/>
      <c r="I22" s="27"/>
      <c r="J22" s="27"/>
      <c r="K22" s="27"/>
      <c r="L22" s="27"/>
      <c r="M22" s="27"/>
      <c r="N22" s="27"/>
    </row>
    <row r="23" spans="1:14" x14ac:dyDescent="0.25">
      <c r="A23" s="27"/>
      <c r="B23" s="27"/>
      <c r="C23" s="27"/>
      <c r="D23" s="27"/>
      <c r="E23" s="27"/>
      <c r="F23" s="27"/>
      <c r="G23" s="27"/>
      <c r="H23" s="27"/>
      <c r="I23" s="27"/>
      <c r="J23" s="27"/>
      <c r="K23" s="27"/>
      <c r="L23" s="27"/>
      <c r="M23" s="27"/>
      <c r="N23" s="27"/>
    </row>
    <row r="24" spans="1:14" x14ac:dyDescent="0.25">
      <c r="A24" s="27"/>
      <c r="B24" s="27"/>
      <c r="C24" s="27"/>
      <c r="D24" s="27"/>
      <c r="E24" s="27"/>
      <c r="F24" s="27"/>
      <c r="G24" s="27"/>
      <c r="H24" s="27"/>
      <c r="I24" s="27"/>
      <c r="J24" s="27"/>
      <c r="K24" s="27"/>
      <c r="L24" s="27"/>
      <c r="M24" s="27"/>
      <c r="N24" s="27"/>
    </row>
    <row r="25" spans="1:14" x14ac:dyDescent="0.25">
      <c r="A25" s="27"/>
      <c r="B25" s="27"/>
      <c r="C25" s="27"/>
      <c r="D25" s="27"/>
      <c r="E25" s="27"/>
      <c r="F25" s="27"/>
      <c r="G25" s="27"/>
      <c r="H25" s="27"/>
      <c r="I25" s="27"/>
      <c r="J25" s="27"/>
      <c r="K25" s="27"/>
      <c r="L25" s="27"/>
      <c r="M25" s="27"/>
      <c r="N25" s="27"/>
    </row>
    <row r="26" spans="1:14" x14ac:dyDescent="0.25">
      <c r="A26" s="27"/>
      <c r="B26" s="27"/>
      <c r="C26" s="27"/>
      <c r="D26" s="27"/>
      <c r="E26" s="27"/>
      <c r="F26" s="27"/>
      <c r="G26" s="27"/>
      <c r="H26" s="27"/>
      <c r="I26" s="27"/>
      <c r="J26" s="27"/>
      <c r="K26" s="27"/>
      <c r="L26" s="27"/>
      <c r="M26" s="27"/>
      <c r="N26" s="27"/>
    </row>
    <row r="27" spans="1:14" x14ac:dyDescent="0.25">
      <c r="A27" s="27"/>
      <c r="B27" s="27"/>
      <c r="C27" s="27"/>
      <c r="D27" s="27"/>
      <c r="E27" s="27"/>
      <c r="F27" s="27"/>
      <c r="G27" s="27"/>
      <c r="H27" s="27"/>
      <c r="I27" s="27"/>
      <c r="J27" s="27"/>
      <c r="K27" s="27"/>
      <c r="L27" s="27"/>
      <c r="M27" s="27"/>
      <c r="N27" s="27"/>
    </row>
    <row r="28" spans="1:14" x14ac:dyDescent="0.25">
      <c r="A28" s="27"/>
      <c r="B28" s="27"/>
      <c r="C28" s="27"/>
      <c r="D28" s="27"/>
      <c r="E28" s="27"/>
      <c r="F28" s="27"/>
      <c r="G28" s="27"/>
      <c r="H28" s="27"/>
      <c r="I28" s="27"/>
      <c r="J28" s="27"/>
      <c r="K28" s="27"/>
      <c r="L28" s="27"/>
      <c r="M28" s="27"/>
      <c r="N28" s="27"/>
    </row>
    <row r="29" spans="1:14" x14ac:dyDescent="0.25">
      <c r="A29" s="27"/>
      <c r="B29" s="27"/>
      <c r="C29" s="27"/>
      <c r="D29" s="27"/>
      <c r="E29" s="27"/>
      <c r="F29" s="27"/>
      <c r="G29" s="27"/>
      <c r="H29" s="27"/>
      <c r="I29" s="27"/>
      <c r="J29" s="27"/>
      <c r="K29" s="27"/>
      <c r="L29" s="27"/>
      <c r="M29" s="27"/>
      <c r="N29" s="27"/>
    </row>
    <row r="30" spans="1:14" x14ac:dyDescent="0.25">
      <c r="A30" s="27"/>
      <c r="B30" s="27"/>
      <c r="C30" s="27"/>
      <c r="D30" s="27"/>
      <c r="E30" s="27"/>
      <c r="F30" s="27"/>
      <c r="G30" s="27"/>
      <c r="H30" s="27"/>
      <c r="I30" s="27"/>
      <c r="J30" s="27"/>
      <c r="K30" s="27"/>
      <c r="L30" s="27"/>
      <c r="M30" s="27"/>
      <c r="N30" s="27"/>
    </row>
    <row r="31" spans="1:14" x14ac:dyDescent="0.25">
      <c r="A31" s="27"/>
      <c r="B31" s="27"/>
      <c r="C31" s="27"/>
      <c r="D31" s="27"/>
      <c r="E31" s="27"/>
      <c r="F31" s="27"/>
      <c r="G31" s="27"/>
      <c r="H31" s="27"/>
      <c r="I31" s="27"/>
      <c r="J31" s="27"/>
      <c r="K31" s="27"/>
      <c r="L31" s="27"/>
      <c r="M31" s="27"/>
      <c r="N31" s="27"/>
    </row>
    <row r="32" spans="1:14" x14ac:dyDescent="0.25">
      <c r="A32" s="27"/>
      <c r="B32" s="27"/>
      <c r="C32" s="27"/>
      <c r="D32" s="27"/>
      <c r="E32" s="27"/>
      <c r="F32" s="27"/>
      <c r="G32" s="27"/>
      <c r="H32" s="27"/>
      <c r="I32" s="27"/>
      <c r="J32" s="27"/>
      <c r="K32" s="27"/>
      <c r="L32" s="27"/>
      <c r="M32" s="27"/>
      <c r="N32" s="27"/>
    </row>
    <row r="33" spans="1:14" x14ac:dyDescent="0.25">
      <c r="A33" s="27"/>
      <c r="B33" s="27"/>
      <c r="C33" s="27"/>
      <c r="D33" s="27"/>
      <c r="E33" s="27"/>
      <c r="F33" s="27"/>
      <c r="G33" s="27"/>
      <c r="H33" s="27"/>
      <c r="I33" s="27"/>
      <c r="J33" s="27"/>
      <c r="K33" s="27"/>
      <c r="L33" s="27"/>
      <c r="M33" s="27"/>
      <c r="N33" s="27"/>
    </row>
    <row r="34" spans="1:14" x14ac:dyDescent="0.25">
      <c r="A34" s="27"/>
      <c r="B34" s="27"/>
      <c r="C34" s="27"/>
      <c r="D34" s="27"/>
      <c r="E34" s="27"/>
      <c r="F34" s="27"/>
      <c r="G34" s="27"/>
      <c r="H34" s="27"/>
      <c r="I34" s="27"/>
      <c r="J34" s="27"/>
      <c r="K34" s="27"/>
      <c r="L34" s="27"/>
      <c r="M34" s="27"/>
      <c r="N34" s="27"/>
    </row>
    <row r="35" spans="1:14" x14ac:dyDescent="0.25">
      <c r="A35" s="27"/>
      <c r="B35" s="27"/>
      <c r="C35" s="27"/>
      <c r="D35" s="27"/>
      <c r="E35" s="27"/>
      <c r="F35" s="27"/>
      <c r="G35" s="27"/>
      <c r="H35" s="27"/>
      <c r="I35" s="27"/>
      <c r="J35" s="27"/>
      <c r="K35" s="27"/>
      <c r="L35" s="27"/>
      <c r="M35" s="27"/>
      <c r="N35" s="27"/>
    </row>
    <row r="36" spans="1:14" x14ac:dyDescent="0.25">
      <c r="A36" s="27"/>
      <c r="B36" s="27"/>
      <c r="C36" s="27"/>
      <c r="D36" s="27"/>
      <c r="E36" s="27"/>
      <c r="F36" s="27"/>
      <c r="G36" s="27"/>
      <c r="H36" s="27"/>
      <c r="I36" s="27"/>
      <c r="J36" s="27"/>
      <c r="K36" s="27"/>
      <c r="L36" s="27"/>
      <c r="M36" s="27"/>
      <c r="N36" s="27"/>
    </row>
    <row r="37" spans="1:14" x14ac:dyDescent="0.25">
      <c r="A37" s="27"/>
      <c r="B37" s="27"/>
      <c r="C37" s="27"/>
      <c r="D37" s="27"/>
      <c r="E37" s="27"/>
      <c r="F37" s="27"/>
      <c r="G37" s="27"/>
      <c r="H37" s="27"/>
      <c r="I37" s="27"/>
      <c r="J37" s="27"/>
      <c r="K37" s="27"/>
      <c r="L37" s="27"/>
      <c r="M37" s="27"/>
      <c r="N37" s="27"/>
    </row>
    <row r="38" spans="1:14" x14ac:dyDescent="0.25">
      <c r="A38" s="27"/>
      <c r="B38" s="27"/>
      <c r="C38" s="27"/>
      <c r="D38" s="27"/>
      <c r="E38" s="27"/>
      <c r="F38" s="27"/>
      <c r="G38" s="27"/>
      <c r="H38" s="27"/>
      <c r="I38" s="27"/>
      <c r="J38" s="27"/>
      <c r="K38" s="27"/>
      <c r="L38" s="27"/>
      <c r="M38" s="27"/>
      <c r="N38" s="27"/>
    </row>
    <row r="39" spans="1:14" x14ac:dyDescent="0.25">
      <c r="A39" s="27"/>
      <c r="B39" s="27"/>
      <c r="C39" s="27"/>
      <c r="D39" s="27"/>
      <c r="E39" s="27"/>
      <c r="F39" s="27"/>
      <c r="G39" s="27"/>
      <c r="H39" s="27"/>
      <c r="I39" s="27"/>
      <c r="J39" s="27"/>
      <c r="K39" s="27"/>
      <c r="L39" s="27"/>
      <c r="M39" s="27"/>
      <c r="N39" s="27"/>
    </row>
    <row r="40" spans="1:14" x14ac:dyDescent="0.25">
      <c r="A40" s="27"/>
      <c r="B40" s="27"/>
      <c r="C40" s="27"/>
      <c r="D40" s="27"/>
      <c r="E40" s="27"/>
      <c r="F40" s="27"/>
      <c r="G40" s="27"/>
      <c r="H40" s="27"/>
      <c r="I40" s="27"/>
      <c r="J40" s="27"/>
      <c r="K40" s="27"/>
      <c r="L40" s="27"/>
      <c r="M40" s="27"/>
      <c r="N40" s="27"/>
    </row>
    <row r="41" spans="1:14" x14ac:dyDescent="0.25">
      <c r="A41" s="27"/>
      <c r="B41" s="27"/>
      <c r="C41" s="27"/>
      <c r="D41" s="27"/>
      <c r="E41" s="27"/>
      <c r="F41" s="27"/>
      <c r="G41" s="27"/>
      <c r="H41" s="27"/>
      <c r="I41" s="27"/>
      <c r="J41" s="27"/>
      <c r="K41" s="27"/>
      <c r="L41" s="27"/>
      <c r="M41" s="27"/>
      <c r="N41" s="27"/>
    </row>
    <row r="42" spans="1:14" x14ac:dyDescent="0.25">
      <c r="A42" s="27"/>
      <c r="B42" s="27"/>
      <c r="C42" s="27"/>
      <c r="D42" s="27"/>
      <c r="E42" s="27"/>
      <c r="F42" s="27"/>
      <c r="G42" s="27"/>
      <c r="H42" s="27"/>
      <c r="I42" s="27"/>
      <c r="J42" s="27"/>
      <c r="K42" s="27"/>
      <c r="L42" s="27"/>
      <c r="M42" s="27"/>
      <c r="N42" s="27"/>
    </row>
    <row r="43" spans="1:14" x14ac:dyDescent="0.25">
      <c r="A43" s="27"/>
      <c r="B43" s="27"/>
      <c r="C43" s="27"/>
      <c r="D43" s="27"/>
      <c r="E43" s="27"/>
      <c r="F43" s="27"/>
      <c r="G43" s="27"/>
      <c r="H43" s="27"/>
      <c r="I43" s="27"/>
      <c r="J43" s="27"/>
      <c r="K43" s="27"/>
      <c r="L43" s="27"/>
      <c r="M43" s="27"/>
      <c r="N43" s="27"/>
    </row>
    <row r="44" spans="1:14" x14ac:dyDescent="0.25">
      <c r="A44" s="27"/>
      <c r="B44" s="27"/>
      <c r="C44" s="27"/>
      <c r="D44" s="27"/>
      <c r="E44" s="27"/>
      <c r="F44" s="27"/>
      <c r="G44" s="27"/>
      <c r="H44" s="27"/>
      <c r="I44" s="27"/>
      <c r="J44" s="27"/>
      <c r="K44" s="27"/>
      <c r="L44" s="27"/>
      <c r="M44" s="27"/>
      <c r="N44" s="27"/>
    </row>
    <row r="45" spans="1:14" x14ac:dyDescent="0.25">
      <c r="A45" s="27"/>
      <c r="B45" s="27"/>
      <c r="C45" s="27"/>
      <c r="D45" s="27"/>
      <c r="E45" s="27"/>
      <c r="F45" s="27"/>
      <c r="G45" s="27"/>
      <c r="H45" s="27"/>
      <c r="I45" s="27"/>
      <c r="J45" s="27"/>
      <c r="K45" s="27"/>
      <c r="L45" s="27"/>
      <c r="M45" s="27"/>
      <c r="N45" s="27"/>
    </row>
    <row r="46" spans="1:14" x14ac:dyDescent="0.25">
      <c r="A46" s="27"/>
      <c r="B46" s="27"/>
      <c r="C46" s="27"/>
      <c r="D46" s="27"/>
      <c r="E46" s="27"/>
      <c r="F46" s="27"/>
      <c r="G46" s="27"/>
      <c r="H46" s="27"/>
      <c r="I46" s="27"/>
      <c r="J46" s="27"/>
      <c r="K46" s="27"/>
      <c r="L46" s="27"/>
      <c r="M46" s="27"/>
      <c r="N46" s="27"/>
    </row>
    <row r="47" spans="1:14" x14ac:dyDescent="0.25">
      <c r="A47" s="27"/>
      <c r="B47" s="27"/>
      <c r="C47" s="27"/>
      <c r="D47" s="27"/>
      <c r="E47" s="27"/>
      <c r="F47" s="27"/>
      <c r="G47" s="27"/>
      <c r="H47" s="27"/>
      <c r="I47" s="27"/>
      <c r="J47" s="27"/>
      <c r="K47" s="27"/>
      <c r="L47" s="27"/>
      <c r="M47" s="27"/>
      <c r="N47" s="27"/>
    </row>
    <row r="48" spans="1:14" x14ac:dyDescent="0.25">
      <c r="A48" s="27"/>
      <c r="B48" s="27"/>
      <c r="C48" s="27"/>
      <c r="D48" s="27"/>
      <c r="E48" s="27"/>
      <c r="F48" s="27"/>
      <c r="G48" s="27"/>
      <c r="H48" s="27"/>
      <c r="I48" s="27"/>
      <c r="J48" s="27"/>
      <c r="K48" s="27"/>
      <c r="L48" s="27"/>
      <c r="M48" s="27"/>
      <c r="N48" s="27"/>
    </row>
    <row r="49" spans="1:14" x14ac:dyDescent="0.25">
      <c r="A49" s="27"/>
      <c r="B49" s="27"/>
      <c r="C49" s="27"/>
      <c r="D49" s="27"/>
      <c r="E49" s="27"/>
      <c r="F49" s="27"/>
      <c r="G49" s="27"/>
      <c r="H49" s="27"/>
      <c r="I49" s="27"/>
      <c r="J49" s="27"/>
      <c r="K49" s="27"/>
      <c r="L49" s="27"/>
      <c r="M49" s="27"/>
      <c r="N49" s="27"/>
    </row>
    <row r="50" spans="1:14" x14ac:dyDescent="0.25">
      <c r="A50" s="27"/>
      <c r="B50" s="27"/>
      <c r="C50" s="27"/>
      <c r="D50" s="27"/>
      <c r="E50" s="27"/>
      <c r="F50" s="27"/>
      <c r="G50" s="27"/>
      <c r="H50" s="27"/>
      <c r="I50" s="27"/>
      <c r="J50" s="27"/>
      <c r="K50" s="27"/>
      <c r="L50" s="27"/>
      <c r="M50" s="27"/>
      <c r="N50" s="27"/>
    </row>
  </sheetData>
  <mergeCells count="14">
    <mergeCell ref="G6:I6"/>
    <mergeCell ref="J4:L4"/>
    <mergeCell ref="J5:L5"/>
    <mergeCell ref="J6:L6"/>
    <mergeCell ref="A1:N1"/>
    <mergeCell ref="A2:N2"/>
    <mergeCell ref="A4:C4"/>
    <mergeCell ref="A5:C5"/>
    <mergeCell ref="A6:C6"/>
    <mergeCell ref="D4:F4"/>
    <mergeCell ref="D5:F5"/>
    <mergeCell ref="D6:F6"/>
    <mergeCell ref="G4:I4"/>
    <mergeCell ref="G5:I5"/>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FC2B-3291-46B0-AB8A-982E4EDBA61D}">
  <dimension ref="A1:U50"/>
  <sheetViews>
    <sheetView showGridLines="0" workbookViewId="0">
      <selection activeCell="O8" sqref="O8"/>
    </sheetView>
  </sheetViews>
  <sheetFormatPr defaultRowHeight="15" x14ac:dyDescent="0.25"/>
  <cols>
    <col min="1" max="14" width="10.28515625" customWidth="1"/>
    <col min="16" max="16" width="10.140625" customWidth="1"/>
    <col min="17" max="17" width="22.140625" customWidth="1"/>
    <col min="19" max="19" width="12" customWidth="1"/>
    <col min="20" max="20" width="14.140625" customWidth="1"/>
    <col min="21" max="21" width="13" customWidth="1"/>
  </cols>
  <sheetData>
    <row r="1" spans="1:21" ht="30" customHeight="1" x14ac:dyDescent="0.4">
      <c r="A1" s="30" t="s">
        <v>72</v>
      </c>
      <c r="B1" s="28"/>
      <c r="C1" s="28"/>
      <c r="D1" s="28"/>
      <c r="E1" s="28"/>
      <c r="F1" s="28"/>
      <c r="G1" s="28"/>
      <c r="H1" s="28"/>
      <c r="I1" s="28"/>
      <c r="J1" s="28"/>
      <c r="K1" s="28"/>
      <c r="L1" s="28"/>
      <c r="M1" s="28"/>
      <c r="N1" s="28"/>
      <c r="P1" t="s">
        <v>41</v>
      </c>
      <c r="Q1" t="s">
        <v>71</v>
      </c>
      <c r="S1" t="s">
        <v>31</v>
      </c>
      <c r="T1" t="s">
        <v>32</v>
      </c>
      <c r="U1" t="s">
        <v>33</v>
      </c>
    </row>
    <row r="2" spans="1:21" ht="20.100000000000001" customHeight="1" x14ac:dyDescent="0.25">
      <c r="A2" s="31" t="s">
        <v>73</v>
      </c>
      <c r="B2" s="29"/>
      <c r="C2" s="29"/>
      <c r="D2" s="29"/>
      <c r="E2" s="29"/>
      <c r="F2" s="29"/>
      <c r="G2" s="29"/>
      <c r="H2" s="29"/>
      <c r="I2" s="29"/>
      <c r="J2" s="29"/>
      <c r="K2" s="29"/>
      <c r="L2" s="29"/>
      <c r="M2" s="29"/>
      <c r="N2" s="29"/>
      <c r="P2" t="str">
        <f>'Country CFR'!A2</f>
        <v>Mexico</v>
      </c>
      <c r="Q2">
        <f>'Country CFR'!B2</f>
        <v>9.25</v>
      </c>
      <c r="S2" t="str">
        <f>'Continent Analysis'!A2</f>
        <v>Africa</v>
      </c>
      <c r="T2">
        <f>'Continent Analysis'!C2</f>
        <v>121784</v>
      </c>
      <c r="U2">
        <f>'Continent Analysis'!B2</f>
        <v>4557699</v>
      </c>
    </row>
    <row r="3" spans="1:21" ht="8.1" customHeight="1" x14ac:dyDescent="0.25">
      <c r="A3" s="27"/>
      <c r="B3" s="27"/>
      <c r="C3" s="27"/>
      <c r="D3" s="27"/>
      <c r="E3" s="27"/>
      <c r="F3" s="27"/>
      <c r="G3" s="27"/>
      <c r="H3" s="27"/>
      <c r="I3" s="27"/>
      <c r="J3" s="27"/>
      <c r="K3" s="27"/>
      <c r="L3" s="27"/>
      <c r="M3" s="27"/>
      <c r="N3" s="27"/>
      <c r="P3" t="str">
        <f>'Country CFR'!A3</f>
        <v>Italy</v>
      </c>
      <c r="Q3">
        <f>'Country CFR'!B3</f>
        <v>3</v>
      </c>
      <c r="S3" t="str">
        <f>'Continent Analysis'!A3</f>
        <v>Asia</v>
      </c>
      <c r="T3">
        <f>'Continent Analysis'!C3</f>
        <v>520286</v>
      </c>
      <c r="U3">
        <f>'Continent Analysis'!B3</f>
        <v>39526308</v>
      </c>
    </row>
    <row r="4" spans="1:21" ht="15.95" customHeight="1" x14ac:dyDescent="0.25">
      <c r="A4" s="32" t="s">
        <v>74</v>
      </c>
      <c r="B4" s="13"/>
      <c r="C4" s="13"/>
      <c r="D4" s="32" t="s">
        <v>75</v>
      </c>
      <c r="E4" s="13"/>
      <c r="F4" s="13"/>
      <c r="G4" s="32" t="s">
        <v>76</v>
      </c>
      <c r="H4" s="13"/>
      <c r="I4" s="13"/>
      <c r="J4" s="32" t="s">
        <v>78</v>
      </c>
      <c r="K4" s="13"/>
      <c r="L4" s="17"/>
      <c r="M4" s="27"/>
      <c r="N4" s="27"/>
      <c r="P4" t="str">
        <f>'Country CFR'!A4</f>
        <v>United Kingdom</v>
      </c>
      <c r="Q4">
        <f>'Country CFR'!B4</f>
        <v>2.88</v>
      </c>
      <c r="S4" t="str">
        <f>'Continent Analysis'!A4</f>
        <v>Europe</v>
      </c>
      <c r="T4">
        <f>'Continent Analysis'!C4</f>
        <v>1016750</v>
      </c>
      <c r="U4">
        <f>'Continent Analysis'!B4</f>
        <v>44863478</v>
      </c>
    </row>
    <row r="5" spans="1:21" ht="33.950000000000003" customHeight="1" x14ac:dyDescent="0.25">
      <c r="A5" s="33">
        <f>Summary!B3</f>
        <v>151398759</v>
      </c>
      <c r="B5" s="14"/>
      <c r="C5" s="14"/>
      <c r="D5" s="35">
        <f>Summary!B2</f>
        <v>3180223</v>
      </c>
      <c r="E5" s="14"/>
      <c r="F5" s="14"/>
      <c r="G5" s="36">
        <f>Summary!B4</f>
        <v>2.1000000000000001E-2</v>
      </c>
      <c r="H5" s="23"/>
      <c r="I5" s="23"/>
      <c r="J5" s="37" t="str">
        <f>Summary!B5</f>
        <v>185+</v>
      </c>
      <c r="K5" s="15"/>
      <c r="L5" s="25"/>
      <c r="M5" s="27"/>
      <c r="N5" s="27"/>
      <c r="P5" t="str">
        <f>'Country CFR'!A5</f>
        <v>Brazil</v>
      </c>
      <c r="Q5">
        <f>'Country CFR'!B5</f>
        <v>2.75</v>
      </c>
      <c r="S5" t="str">
        <f>'Continent Analysis'!A5</f>
        <v>North America</v>
      </c>
      <c r="T5">
        <f>'Continent Analysis'!C5</f>
        <v>847942</v>
      </c>
      <c r="U5">
        <f>'Continent Analysis'!B5</f>
        <v>37529488</v>
      </c>
    </row>
    <row r="6" spans="1:21" ht="15.95" customHeight="1" x14ac:dyDescent="0.25">
      <c r="A6" s="34" t="s">
        <v>4</v>
      </c>
      <c r="B6" s="16"/>
      <c r="C6" s="16"/>
      <c r="D6" s="34" t="s">
        <v>4</v>
      </c>
      <c r="E6" s="16"/>
      <c r="F6" s="16"/>
      <c r="G6" s="34" t="s">
        <v>77</v>
      </c>
      <c r="H6" s="16"/>
      <c r="I6" s="16"/>
      <c r="J6" s="34" t="s">
        <v>79</v>
      </c>
      <c r="K6" s="16"/>
      <c r="L6" s="18"/>
      <c r="M6" s="27"/>
      <c r="N6" s="27"/>
      <c r="P6" t="str">
        <f>'Country CFR'!A6</f>
        <v>Germany</v>
      </c>
      <c r="Q6">
        <f>'Country CFR'!B6</f>
        <v>2.44</v>
      </c>
      <c r="S6" t="str">
        <f>'Continent Analysis'!A6</f>
        <v>Oceania</v>
      </c>
      <c r="T6">
        <f>'Continent Analysis'!C6</f>
        <v>1046</v>
      </c>
      <c r="U6">
        <f>'Continent Analysis'!B6</f>
        <v>43570</v>
      </c>
    </row>
    <row r="7" spans="1:21" ht="14.1" customHeight="1" x14ac:dyDescent="0.25">
      <c r="A7" s="27"/>
      <c r="B7" s="27"/>
      <c r="C7" s="27"/>
      <c r="D7" s="27"/>
      <c r="E7" s="27"/>
      <c r="F7" s="27"/>
      <c r="G7" s="27"/>
      <c r="H7" s="27"/>
      <c r="I7" s="27"/>
      <c r="J7" s="27"/>
      <c r="K7" s="27"/>
      <c r="L7" s="27"/>
      <c r="M7" s="27"/>
      <c r="N7" s="27"/>
      <c r="P7" t="str">
        <f>'Country CFR'!A7</f>
        <v>Russia</v>
      </c>
      <c r="Q7">
        <f>'Country CFR'!B7</f>
        <v>2.2799999999999998</v>
      </c>
      <c r="S7" t="str">
        <f>'Continent Analysis'!A7</f>
        <v>South America</v>
      </c>
      <c r="T7">
        <f>'Continent Analysis'!C7</f>
        <v>672415</v>
      </c>
      <c r="U7">
        <f>'Continent Analysis'!B7</f>
        <v>24878216</v>
      </c>
    </row>
    <row r="8" spans="1:21" x14ac:dyDescent="0.25">
      <c r="A8" s="27"/>
      <c r="B8" s="27"/>
      <c r="C8" s="27"/>
      <c r="D8" s="27"/>
      <c r="E8" s="27"/>
      <c r="F8" s="27"/>
      <c r="G8" s="27"/>
      <c r="H8" s="27"/>
      <c r="I8" s="27"/>
      <c r="J8" s="27"/>
      <c r="K8" s="27"/>
      <c r="L8" s="27"/>
      <c r="M8" s="27"/>
      <c r="N8" s="27"/>
      <c r="P8" t="str">
        <f>'Country CFR'!A8</f>
        <v>Spain</v>
      </c>
      <c r="Q8">
        <f>'Country CFR'!B8</f>
        <v>2.2200000000000002</v>
      </c>
    </row>
    <row r="9" spans="1:21" x14ac:dyDescent="0.25">
      <c r="A9" s="27"/>
      <c r="B9" s="27"/>
      <c r="C9" s="27"/>
      <c r="D9" s="27"/>
      <c r="E9" s="27"/>
      <c r="F9" s="27"/>
      <c r="G9" s="27"/>
      <c r="H9" s="27"/>
      <c r="I9" s="27"/>
      <c r="J9" s="27"/>
      <c r="K9" s="27"/>
      <c r="L9" s="27"/>
      <c r="M9" s="27"/>
      <c r="N9" s="27"/>
      <c r="P9" t="str">
        <f>'Country CFR'!A9</f>
        <v>France</v>
      </c>
      <c r="Q9">
        <f>'Country CFR'!B9</f>
        <v>1.84</v>
      </c>
    </row>
    <row r="10" spans="1:21" x14ac:dyDescent="0.25">
      <c r="A10" s="27"/>
      <c r="B10" s="27"/>
      <c r="C10" s="27"/>
      <c r="D10" s="27"/>
      <c r="E10" s="27"/>
      <c r="F10" s="27"/>
      <c r="G10" s="27"/>
      <c r="H10" s="27"/>
      <c r="I10" s="27"/>
      <c r="J10" s="27"/>
      <c r="K10" s="27"/>
      <c r="L10" s="27"/>
      <c r="M10" s="27"/>
      <c r="N10" s="27"/>
      <c r="P10" t="str">
        <f>'Country CFR'!A10</f>
        <v>United States</v>
      </c>
      <c r="Q10">
        <f>'Country CFR'!B10</f>
        <v>1.78</v>
      </c>
    </row>
    <row r="11" spans="1:21" x14ac:dyDescent="0.25">
      <c r="A11" s="27"/>
      <c r="B11" s="27"/>
      <c r="C11" s="27"/>
      <c r="D11" s="27"/>
      <c r="E11" s="27"/>
      <c r="F11" s="27"/>
      <c r="G11" s="27"/>
      <c r="H11" s="27"/>
      <c r="I11" s="27"/>
      <c r="J11" s="27"/>
      <c r="K11" s="27"/>
      <c r="L11" s="27"/>
      <c r="M11" s="27"/>
      <c r="N11" s="27"/>
      <c r="P11" t="str">
        <f>'Country CFR'!A11</f>
        <v>India</v>
      </c>
      <c r="Q11">
        <f>'Country CFR'!B11</f>
        <v>1.1100000000000001</v>
      </c>
    </row>
    <row r="12" spans="1:21" x14ac:dyDescent="0.25">
      <c r="A12" s="27"/>
      <c r="B12" s="27"/>
      <c r="C12" s="27"/>
      <c r="D12" s="27"/>
      <c r="E12" s="27"/>
      <c r="F12" s="27"/>
      <c r="G12" s="27"/>
      <c r="H12" s="27"/>
      <c r="I12" s="27"/>
      <c r="J12" s="27"/>
      <c r="K12" s="27"/>
      <c r="L12" s="27"/>
      <c r="M12" s="27"/>
      <c r="N12" s="27"/>
    </row>
    <row r="13" spans="1:21" x14ac:dyDescent="0.25">
      <c r="A13" s="27"/>
      <c r="B13" s="27"/>
      <c r="C13" s="27"/>
      <c r="D13" s="27"/>
      <c r="E13" s="27"/>
      <c r="F13" s="27"/>
      <c r="G13" s="27"/>
      <c r="H13" s="27"/>
      <c r="I13" s="27"/>
      <c r="J13" s="27"/>
      <c r="K13" s="27"/>
      <c r="L13" s="27"/>
      <c r="M13" s="27"/>
      <c r="N13" s="27"/>
    </row>
    <row r="14" spans="1:21" x14ac:dyDescent="0.25">
      <c r="A14" s="27"/>
      <c r="B14" s="27"/>
      <c r="C14" s="27"/>
      <c r="D14" s="27"/>
      <c r="E14" s="27"/>
      <c r="F14" s="27"/>
      <c r="G14" s="27"/>
      <c r="H14" s="27"/>
      <c r="I14" s="27"/>
      <c r="J14" s="27"/>
      <c r="K14" s="27"/>
      <c r="L14" s="27"/>
      <c r="M14" s="27"/>
      <c r="N14" s="27"/>
    </row>
    <row r="15" spans="1:21" x14ac:dyDescent="0.25">
      <c r="A15" s="27"/>
      <c r="B15" s="27"/>
      <c r="C15" s="27"/>
      <c r="D15" s="27"/>
      <c r="E15" s="27"/>
      <c r="F15" s="27"/>
      <c r="G15" s="27"/>
      <c r="H15" s="27"/>
      <c r="I15" s="27"/>
      <c r="J15" s="27"/>
      <c r="K15" s="27"/>
      <c r="L15" s="27"/>
      <c r="M15" s="27"/>
      <c r="N15" s="27"/>
    </row>
    <row r="16" spans="1:21" x14ac:dyDescent="0.25">
      <c r="A16" s="27"/>
      <c r="B16" s="27"/>
      <c r="C16" s="27"/>
      <c r="D16" s="27"/>
      <c r="E16" s="27"/>
      <c r="F16" s="27"/>
      <c r="G16" s="27"/>
      <c r="H16" s="27"/>
      <c r="I16" s="27"/>
      <c r="J16" s="27"/>
      <c r="K16" s="27"/>
      <c r="L16" s="27"/>
      <c r="M16" s="27"/>
      <c r="N16" s="27"/>
    </row>
    <row r="17" spans="1:14" x14ac:dyDescent="0.25">
      <c r="A17" s="27"/>
      <c r="B17" s="27"/>
      <c r="C17" s="27"/>
      <c r="D17" s="27"/>
      <c r="E17" s="27"/>
      <c r="F17" s="27"/>
      <c r="G17" s="27"/>
      <c r="H17" s="27"/>
      <c r="I17" s="27"/>
      <c r="J17" s="27"/>
      <c r="K17" s="27"/>
      <c r="L17" s="27"/>
      <c r="M17" s="27"/>
      <c r="N17" s="27"/>
    </row>
    <row r="18" spans="1:14" x14ac:dyDescent="0.25">
      <c r="A18" s="27"/>
      <c r="B18" s="27"/>
      <c r="C18" s="27"/>
      <c r="D18" s="27"/>
      <c r="E18" s="27"/>
      <c r="F18" s="27"/>
      <c r="G18" s="27"/>
      <c r="H18" s="27"/>
      <c r="I18" s="27"/>
      <c r="J18" s="27"/>
      <c r="K18" s="27"/>
      <c r="L18" s="27"/>
      <c r="M18" s="27"/>
      <c r="N18" s="27"/>
    </row>
    <row r="19" spans="1:14" x14ac:dyDescent="0.25">
      <c r="A19" s="27"/>
      <c r="B19" s="27"/>
      <c r="C19" s="27"/>
      <c r="D19" s="27"/>
      <c r="E19" s="27"/>
      <c r="F19" s="27"/>
      <c r="G19" s="27"/>
      <c r="H19" s="27"/>
      <c r="I19" s="27"/>
      <c r="J19" s="27"/>
      <c r="K19" s="27"/>
      <c r="L19" s="27"/>
      <c r="M19" s="27"/>
      <c r="N19" s="27"/>
    </row>
    <row r="20" spans="1:14" x14ac:dyDescent="0.25">
      <c r="A20" s="27"/>
      <c r="B20" s="27"/>
      <c r="C20" s="27"/>
      <c r="D20" s="27"/>
      <c r="E20" s="27"/>
      <c r="F20" s="27"/>
      <c r="G20" s="27"/>
      <c r="H20" s="27"/>
      <c r="I20" s="27"/>
      <c r="J20" s="27"/>
      <c r="K20" s="27"/>
      <c r="L20" s="27"/>
      <c r="M20" s="27"/>
      <c r="N20" s="27"/>
    </row>
    <row r="21" spans="1:14" x14ac:dyDescent="0.25">
      <c r="A21" s="27"/>
      <c r="B21" s="27"/>
      <c r="C21" s="27"/>
      <c r="D21" s="27"/>
      <c r="E21" s="27"/>
      <c r="F21" s="27"/>
      <c r="G21" s="27"/>
      <c r="H21" s="27"/>
      <c r="I21" s="27"/>
      <c r="J21" s="27"/>
      <c r="K21" s="27"/>
      <c r="L21" s="27"/>
      <c r="M21" s="27"/>
      <c r="N21" s="27"/>
    </row>
    <row r="22" spans="1:14" x14ac:dyDescent="0.25">
      <c r="A22" s="27"/>
      <c r="B22" s="27"/>
      <c r="C22" s="27"/>
      <c r="D22" s="27"/>
      <c r="E22" s="27"/>
      <c r="F22" s="27"/>
      <c r="G22" s="27"/>
      <c r="H22" s="27"/>
      <c r="I22" s="27"/>
      <c r="J22" s="27"/>
      <c r="K22" s="27"/>
      <c r="L22" s="27"/>
      <c r="M22" s="27"/>
      <c r="N22" s="27"/>
    </row>
    <row r="23" spans="1:14" x14ac:dyDescent="0.25">
      <c r="A23" s="27"/>
      <c r="B23" s="27"/>
      <c r="C23" s="27"/>
      <c r="D23" s="27"/>
      <c r="E23" s="27"/>
      <c r="F23" s="27"/>
      <c r="G23" s="27"/>
      <c r="H23" s="27"/>
      <c r="I23" s="27"/>
      <c r="J23" s="27"/>
      <c r="K23" s="27"/>
      <c r="L23" s="27"/>
      <c r="M23" s="27"/>
      <c r="N23" s="27"/>
    </row>
    <row r="24" spans="1:14" x14ac:dyDescent="0.25">
      <c r="A24" s="27"/>
      <c r="B24" s="27"/>
      <c r="C24" s="27"/>
      <c r="D24" s="27"/>
      <c r="E24" s="27"/>
      <c r="F24" s="27"/>
      <c r="G24" s="27"/>
      <c r="H24" s="27"/>
      <c r="I24" s="27"/>
      <c r="J24" s="27"/>
      <c r="K24" s="27"/>
      <c r="L24" s="27"/>
      <c r="M24" s="27"/>
      <c r="N24" s="27"/>
    </row>
    <row r="25" spans="1:14" x14ac:dyDescent="0.25">
      <c r="A25" s="27"/>
      <c r="B25" s="27"/>
      <c r="C25" s="27"/>
      <c r="D25" s="27"/>
      <c r="E25" s="27"/>
      <c r="F25" s="27"/>
      <c r="G25" s="27"/>
      <c r="H25" s="27"/>
      <c r="I25" s="27"/>
      <c r="J25" s="27"/>
      <c r="K25" s="27"/>
      <c r="L25" s="27"/>
      <c r="M25" s="27"/>
      <c r="N25" s="27"/>
    </row>
    <row r="26" spans="1:14" x14ac:dyDescent="0.25">
      <c r="A26" s="27"/>
      <c r="B26" s="27"/>
      <c r="C26" s="27"/>
      <c r="D26" s="27"/>
      <c r="E26" s="27"/>
      <c r="F26" s="27"/>
      <c r="G26" s="27"/>
      <c r="H26" s="27"/>
      <c r="I26" s="27"/>
      <c r="J26" s="27"/>
      <c r="K26" s="27"/>
      <c r="L26" s="27"/>
      <c r="M26" s="27"/>
      <c r="N26" s="27"/>
    </row>
    <row r="27" spans="1:14" x14ac:dyDescent="0.25">
      <c r="A27" s="27"/>
      <c r="B27" s="27"/>
      <c r="C27" s="27"/>
      <c r="D27" s="27"/>
      <c r="E27" s="27"/>
      <c r="F27" s="27"/>
      <c r="G27" s="27"/>
      <c r="H27" s="27"/>
      <c r="I27" s="27"/>
      <c r="J27" s="27"/>
      <c r="K27" s="27"/>
      <c r="L27" s="27"/>
      <c r="M27" s="27"/>
      <c r="N27" s="27"/>
    </row>
    <row r="28" spans="1:14" x14ac:dyDescent="0.25">
      <c r="A28" s="27"/>
      <c r="B28" s="27"/>
      <c r="C28" s="27"/>
      <c r="D28" s="27"/>
      <c r="E28" s="27"/>
      <c r="F28" s="27"/>
      <c r="G28" s="27"/>
      <c r="H28" s="27"/>
      <c r="I28" s="27"/>
      <c r="J28" s="27"/>
      <c r="K28" s="27"/>
      <c r="L28" s="27"/>
      <c r="M28" s="27"/>
      <c r="N28" s="27"/>
    </row>
    <row r="29" spans="1:14" x14ac:dyDescent="0.25">
      <c r="A29" s="27"/>
      <c r="B29" s="27"/>
      <c r="C29" s="27"/>
      <c r="D29" s="27"/>
      <c r="E29" s="27"/>
      <c r="F29" s="27"/>
      <c r="G29" s="27"/>
      <c r="H29" s="27"/>
      <c r="I29" s="27"/>
      <c r="J29" s="27"/>
      <c r="K29" s="27"/>
      <c r="L29" s="27"/>
      <c r="M29" s="27"/>
      <c r="N29" s="27"/>
    </row>
    <row r="30" spans="1:14" x14ac:dyDescent="0.25">
      <c r="A30" s="27"/>
      <c r="B30" s="27"/>
      <c r="C30" s="27"/>
      <c r="D30" s="27"/>
      <c r="E30" s="27"/>
      <c r="F30" s="27"/>
      <c r="G30" s="27"/>
      <c r="H30" s="27"/>
      <c r="I30" s="27"/>
      <c r="J30" s="27"/>
      <c r="K30" s="27"/>
      <c r="L30" s="27"/>
      <c r="M30" s="27"/>
      <c r="N30" s="27"/>
    </row>
    <row r="31" spans="1:14" x14ac:dyDescent="0.25">
      <c r="A31" s="27"/>
      <c r="B31" s="27"/>
      <c r="C31" s="27"/>
      <c r="D31" s="27"/>
      <c r="E31" s="27"/>
      <c r="F31" s="27"/>
      <c r="G31" s="27"/>
      <c r="H31" s="27"/>
      <c r="I31" s="27"/>
      <c r="J31" s="27"/>
      <c r="K31" s="27"/>
      <c r="L31" s="27"/>
      <c r="M31" s="27"/>
      <c r="N31" s="27"/>
    </row>
    <row r="32" spans="1:14" x14ac:dyDescent="0.25">
      <c r="A32" s="27"/>
      <c r="B32" s="27"/>
      <c r="C32" s="27"/>
      <c r="D32" s="27"/>
      <c r="E32" s="27"/>
      <c r="F32" s="27"/>
      <c r="G32" s="27"/>
      <c r="H32" s="27"/>
      <c r="I32" s="27"/>
      <c r="J32" s="27"/>
      <c r="K32" s="27"/>
      <c r="L32" s="27"/>
      <c r="M32" s="27"/>
      <c r="N32" s="27"/>
    </row>
    <row r="33" spans="1:14" x14ac:dyDescent="0.25">
      <c r="A33" s="27"/>
      <c r="B33" s="27"/>
      <c r="C33" s="27"/>
      <c r="D33" s="27"/>
      <c r="E33" s="27"/>
      <c r="F33" s="27"/>
      <c r="G33" s="27"/>
      <c r="H33" s="27"/>
      <c r="I33" s="27"/>
      <c r="J33" s="27"/>
      <c r="K33" s="27"/>
      <c r="L33" s="27"/>
      <c r="M33" s="27"/>
      <c r="N33" s="27"/>
    </row>
    <row r="34" spans="1:14" x14ac:dyDescent="0.25">
      <c r="A34" s="27"/>
      <c r="B34" s="27"/>
      <c r="C34" s="27"/>
      <c r="D34" s="27"/>
      <c r="E34" s="27"/>
      <c r="F34" s="27"/>
      <c r="G34" s="27"/>
      <c r="H34" s="27"/>
      <c r="I34" s="27"/>
      <c r="J34" s="27"/>
      <c r="K34" s="27"/>
      <c r="L34" s="27"/>
      <c r="M34" s="27"/>
      <c r="N34" s="27"/>
    </row>
    <row r="35" spans="1:14" x14ac:dyDescent="0.25">
      <c r="A35" s="27"/>
      <c r="B35" s="27"/>
      <c r="C35" s="27"/>
      <c r="D35" s="27"/>
      <c r="E35" s="27"/>
      <c r="F35" s="27"/>
      <c r="G35" s="27"/>
      <c r="H35" s="27"/>
      <c r="I35" s="27"/>
      <c r="J35" s="27"/>
      <c r="K35" s="27"/>
      <c r="L35" s="27"/>
      <c r="M35" s="27"/>
      <c r="N35" s="27"/>
    </row>
    <row r="36" spans="1:14" x14ac:dyDescent="0.25">
      <c r="A36" s="27"/>
      <c r="B36" s="27"/>
      <c r="C36" s="27"/>
      <c r="D36" s="27"/>
      <c r="E36" s="27"/>
      <c r="F36" s="27"/>
      <c r="G36" s="27"/>
      <c r="H36" s="27"/>
      <c r="I36" s="27"/>
      <c r="J36" s="27"/>
      <c r="K36" s="27"/>
      <c r="L36" s="27"/>
      <c r="M36" s="27"/>
      <c r="N36" s="27"/>
    </row>
    <row r="37" spans="1:14" x14ac:dyDescent="0.25">
      <c r="A37" s="27"/>
      <c r="B37" s="27"/>
      <c r="C37" s="27"/>
      <c r="D37" s="27"/>
      <c r="E37" s="27"/>
      <c r="F37" s="27"/>
      <c r="G37" s="27"/>
      <c r="H37" s="27"/>
      <c r="I37" s="27"/>
      <c r="J37" s="27"/>
      <c r="K37" s="27"/>
      <c r="L37" s="27"/>
      <c r="M37" s="27"/>
      <c r="N37" s="27"/>
    </row>
    <row r="38" spans="1:14" x14ac:dyDescent="0.25">
      <c r="A38" s="27"/>
      <c r="B38" s="27"/>
      <c r="C38" s="27"/>
      <c r="D38" s="27"/>
      <c r="E38" s="27"/>
      <c r="F38" s="27"/>
      <c r="G38" s="27"/>
      <c r="H38" s="27"/>
      <c r="I38" s="27"/>
      <c r="J38" s="27"/>
      <c r="K38" s="27"/>
      <c r="L38" s="27"/>
      <c r="M38" s="27"/>
      <c r="N38" s="27"/>
    </row>
    <row r="39" spans="1:14" x14ac:dyDescent="0.25">
      <c r="A39" s="27"/>
      <c r="B39" s="27"/>
      <c r="C39" s="27"/>
      <c r="D39" s="27"/>
      <c r="E39" s="27"/>
      <c r="F39" s="27"/>
      <c r="G39" s="27"/>
      <c r="H39" s="27"/>
      <c r="I39" s="27"/>
      <c r="J39" s="27"/>
      <c r="K39" s="27"/>
      <c r="L39" s="27"/>
      <c r="M39" s="27"/>
      <c r="N39" s="27"/>
    </row>
    <row r="40" spans="1:14" x14ac:dyDescent="0.25">
      <c r="A40" s="27"/>
      <c r="B40" s="27"/>
      <c r="C40" s="27"/>
      <c r="D40" s="27"/>
      <c r="E40" s="27"/>
      <c r="F40" s="27"/>
      <c r="G40" s="27"/>
      <c r="H40" s="27"/>
      <c r="I40" s="27"/>
      <c r="J40" s="27"/>
      <c r="K40" s="27"/>
      <c r="L40" s="27"/>
      <c r="M40" s="27"/>
      <c r="N40" s="27"/>
    </row>
    <row r="41" spans="1:14" x14ac:dyDescent="0.25">
      <c r="A41" s="27"/>
      <c r="B41" s="27"/>
      <c r="C41" s="27"/>
      <c r="D41" s="27"/>
      <c r="E41" s="27"/>
      <c r="F41" s="27"/>
      <c r="G41" s="27"/>
      <c r="H41" s="27"/>
      <c r="I41" s="27"/>
      <c r="J41" s="27"/>
      <c r="K41" s="27"/>
      <c r="L41" s="27"/>
      <c r="M41" s="27"/>
      <c r="N41" s="27"/>
    </row>
    <row r="42" spans="1:14" x14ac:dyDescent="0.25">
      <c r="A42" s="27"/>
      <c r="B42" s="27"/>
      <c r="C42" s="27"/>
      <c r="D42" s="27"/>
      <c r="E42" s="27"/>
      <c r="F42" s="27"/>
      <c r="G42" s="27"/>
      <c r="H42" s="27"/>
      <c r="I42" s="27"/>
      <c r="J42" s="27"/>
      <c r="K42" s="27"/>
      <c r="L42" s="27"/>
      <c r="M42" s="27"/>
      <c r="N42" s="27"/>
    </row>
    <row r="43" spans="1:14" x14ac:dyDescent="0.25">
      <c r="A43" s="27"/>
      <c r="B43" s="27"/>
      <c r="C43" s="27"/>
      <c r="D43" s="27"/>
      <c r="E43" s="27"/>
      <c r="F43" s="27"/>
      <c r="G43" s="27"/>
      <c r="H43" s="27"/>
      <c r="I43" s="27"/>
      <c r="J43" s="27"/>
      <c r="K43" s="27"/>
      <c r="L43" s="27"/>
      <c r="M43" s="27"/>
      <c r="N43" s="27"/>
    </row>
    <row r="44" spans="1:14" x14ac:dyDescent="0.25">
      <c r="A44" s="27"/>
      <c r="B44" s="27"/>
      <c r="C44" s="27"/>
      <c r="D44" s="27"/>
      <c r="E44" s="27"/>
      <c r="F44" s="27"/>
      <c r="G44" s="27"/>
      <c r="H44" s="27"/>
      <c r="I44" s="27"/>
      <c r="J44" s="27"/>
      <c r="K44" s="27"/>
      <c r="L44" s="27"/>
      <c r="M44" s="27"/>
      <c r="N44" s="27"/>
    </row>
    <row r="45" spans="1:14" x14ac:dyDescent="0.25">
      <c r="A45" s="27"/>
      <c r="B45" s="27"/>
      <c r="C45" s="27"/>
      <c r="D45" s="27"/>
      <c r="E45" s="27"/>
      <c r="F45" s="27"/>
      <c r="G45" s="27"/>
      <c r="H45" s="27"/>
      <c r="I45" s="27"/>
      <c r="J45" s="27"/>
      <c r="K45" s="27"/>
      <c r="L45" s="27"/>
      <c r="M45" s="27"/>
      <c r="N45" s="27"/>
    </row>
    <row r="46" spans="1:14" x14ac:dyDescent="0.25">
      <c r="A46" s="27"/>
      <c r="B46" s="27"/>
      <c r="C46" s="27"/>
      <c r="D46" s="27"/>
      <c r="E46" s="27"/>
      <c r="F46" s="27"/>
      <c r="G46" s="27"/>
      <c r="H46" s="27"/>
      <c r="I46" s="27"/>
      <c r="J46" s="27"/>
      <c r="K46" s="27"/>
      <c r="L46" s="27"/>
      <c r="M46" s="27"/>
      <c r="N46" s="27"/>
    </row>
    <row r="47" spans="1:14" x14ac:dyDescent="0.25">
      <c r="A47" s="27"/>
      <c r="B47" s="27"/>
      <c r="C47" s="27"/>
      <c r="D47" s="27"/>
      <c r="E47" s="27"/>
      <c r="F47" s="27"/>
      <c r="G47" s="27"/>
      <c r="H47" s="27"/>
      <c r="I47" s="27"/>
      <c r="J47" s="27"/>
      <c r="K47" s="27"/>
      <c r="L47" s="27"/>
      <c r="M47" s="27"/>
      <c r="N47" s="27"/>
    </row>
    <row r="48" spans="1:14" x14ac:dyDescent="0.25">
      <c r="A48" s="27"/>
      <c r="B48" s="27"/>
      <c r="C48" s="27"/>
      <c r="D48" s="27"/>
      <c r="E48" s="27"/>
      <c r="F48" s="27"/>
      <c r="G48" s="27"/>
      <c r="H48" s="27"/>
      <c r="I48" s="27"/>
      <c r="J48" s="27"/>
      <c r="K48" s="27"/>
      <c r="L48" s="27"/>
      <c r="M48" s="27"/>
      <c r="N48" s="27"/>
    </row>
    <row r="49" spans="1:14" x14ac:dyDescent="0.25">
      <c r="A49" s="27"/>
      <c r="B49" s="27"/>
      <c r="C49" s="27"/>
      <c r="D49" s="27"/>
      <c r="E49" s="27"/>
      <c r="F49" s="27"/>
      <c r="G49" s="27"/>
      <c r="H49" s="27"/>
      <c r="I49" s="27"/>
      <c r="J49" s="27"/>
      <c r="K49" s="27"/>
      <c r="L49" s="27"/>
      <c r="M49" s="27"/>
      <c r="N49" s="27"/>
    </row>
    <row r="50" spans="1:14" x14ac:dyDescent="0.25">
      <c r="A50" s="27"/>
      <c r="B50" s="27"/>
      <c r="C50" s="27"/>
      <c r="D50" s="27"/>
      <c r="E50" s="27"/>
      <c r="F50" s="27"/>
      <c r="G50" s="27"/>
      <c r="H50" s="27"/>
      <c r="I50" s="27"/>
      <c r="J50" s="27"/>
      <c r="K50" s="27"/>
      <c r="L50" s="27"/>
      <c r="M50" s="27"/>
      <c r="N50" s="27"/>
    </row>
  </sheetData>
  <mergeCells count="14">
    <mergeCell ref="G6:I6"/>
    <mergeCell ref="J4:L4"/>
    <mergeCell ref="J5:L5"/>
    <mergeCell ref="J6:L6"/>
    <mergeCell ref="A1:N1"/>
    <mergeCell ref="A2:N2"/>
    <mergeCell ref="A4:C4"/>
    <mergeCell ref="A5:C5"/>
    <mergeCell ref="A6:C6"/>
    <mergeCell ref="D4:F4"/>
    <mergeCell ref="D5:F5"/>
    <mergeCell ref="D6:F6"/>
    <mergeCell ref="G4:I4"/>
    <mergeCell ref="G5:I5"/>
  </mergeCell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9A4E0-1736-473C-ACF5-927E49893A21}">
  <dimension ref="A1:C7"/>
  <sheetViews>
    <sheetView topLeftCell="A2" workbookViewId="0"/>
  </sheetViews>
  <sheetFormatPr defaultRowHeight="15" x14ac:dyDescent="0.25"/>
  <cols>
    <col min="1" max="1" width="18.7109375" customWidth="1"/>
    <col min="2" max="3" width="16.7109375" customWidth="1"/>
  </cols>
  <sheetData>
    <row r="1" spans="1:3" x14ac:dyDescent="0.25">
      <c r="A1" s="5" t="s">
        <v>31</v>
      </c>
      <c r="B1" s="5" t="s">
        <v>33</v>
      </c>
      <c r="C1" s="5" t="s">
        <v>32</v>
      </c>
    </row>
    <row r="2" spans="1:3" x14ac:dyDescent="0.25">
      <c r="A2" t="s">
        <v>38</v>
      </c>
      <c r="B2" s="2">
        <v>4557699</v>
      </c>
      <c r="C2" s="2">
        <v>121784</v>
      </c>
    </row>
    <row r="3" spans="1:3" x14ac:dyDescent="0.25">
      <c r="A3" s="6" t="s">
        <v>37</v>
      </c>
      <c r="B3" s="7">
        <v>39526308</v>
      </c>
      <c r="C3" s="7">
        <v>520286</v>
      </c>
    </row>
    <row r="4" spans="1:3" x14ac:dyDescent="0.25">
      <c r="A4" t="s">
        <v>21</v>
      </c>
      <c r="B4" s="2">
        <v>44863478</v>
      </c>
      <c r="C4" s="2">
        <v>1016750</v>
      </c>
    </row>
    <row r="5" spans="1:3" x14ac:dyDescent="0.25">
      <c r="A5" s="6" t="s">
        <v>35</v>
      </c>
      <c r="B5" s="7">
        <v>37529488</v>
      </c>
      <c r="C5" s="7">
        <v>847942</v>
      </c>
    </row>
    <row r="6" spans="1:3" x14ac:dyDescent="0.25">
      <c r="A6" t="s">
        <v>39</v>
      </c>
      <c r="B6" s="2">
        <v>43570</v>
      </c>
      <c r="C6" s="2">
        <v>1046</v>
      </c>
    </row>
    <row r="7" spans="1:3" x14ac:dyDescent="0.25">
      <c r="A7" s="6" t="s">
        <v>36</v>
      </c>
      <c r="B7" s="7">
        <v>24878216</v>
      </c>
      <c r="C7" s="7">
        <v>672415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D6E1-C82E-463F-89AC-34F28DED585D}">
  <dimension ref="A1:C11"/>
  <sheetViews>
    <sheetView workbookViewId="0">
      <selection sqref="A1:C11"/>
    </sheetView>
  </sheetViews>
  <sheetFormatPr defaultRowHeight="15" x14ac:dyDescent="0.25"/>
  <cols>
    <col min="1" max="1" width="18.7109375" customWidth="1"/>
    <col min="2" max="3" width="16.7109375" customWidth="1"/>
  </cols>
  <sheetData>
    <row r="1" spans="1:3" x14ac:dyDescent="0.25">
      <c r="A1" s="5" t="s">
        <v>41</v>
      </c>
      <c r="B1" s="5" t="s">
        <v>33</v>
      </c>
      <c r="C1" s="5" t="s">
        <v>32</v>
      </c>
    </row>
    <row r="2" spans="1:3" x14ac:dyDescent="0.25">
      <c r="A2" t="s">
        <v>24</v>
      </c>
      <c r="B2" s="2">
        <v>32346971</v>
      </c>
      <c r="C2" s="2">
        <v>576232</v>
      </c>
    </row>
    <row r="3" spans="1:3" x14ac:dyDescent="0.25">
      <c r="A3" t="s">
        <v>44</v>
      </c>
      <c r="B3" s="2">
        <v>14659011</v>
      </c>
      <c r="C3" s="2">
        <v>403781</v>
      </c>
    </row>
    <row r="4" spans="1:3" x14ac:dyDescent="0.25">
      <c r="A4" t="s">
        <v>27</v>
      </c>
      <c r="B4" s="2">
        <v>2344755</v>
      </c>
      <c r="C4" s="2">
        <v>216907</v>
      </c>
    </row>
    <row r="5" spans="1:3" x14ac:dyDescent="0.25">
      <c r="A5" t="s">
        <v>30</v>
      </c>
      <c r="B5" s="2">
        <v>19164969</v>
      </c>
      <c r="C5" s="2">
        <v>211853</v>
      </c>
    </row>
    <row r="6" spans="1:3" x14ac:dyDescent="0.25">
      <c r="A6" t="s">
        <v>46</v>
      </c>
      <c r="B6" s="2">
        <v>4432246</v>
      </c>
      <c r="C6" s="2">
        <v>127775</v>
      </c>
    </row>
    <row r="7" spans="1:3" x14ac:dyDescent="0.25">
      <c r="A7" t="s">
        <v>47</v>
      </c>
      <c r="B7" s="2">
        <v>4022653</v>
      </c>
      <c r="C7" s="2">
        <v>120807</v>
      </c>
    </row>
    <row r="8" spans="1:3" x14ac:dyDescent="0.25">
      <c r="A8" t="s">
        <v>48</v>
      </c>
      <c r="B8" s="2">
        <v>4750755</v>
      </c>
      <c r="C8" s="2">
        <v>108290</v>
      </c>
    </row>
    <row r="9" spans="1:3" x14ac:dyDescent="0.25">
      <c r="A9" t="s">
        <v>49</v>
      </c>
      <c r="B9" s="2">
        <v>5677835</v>
      </c>
      <c r="C9" s="2">
        <v>104675</v>
      </c>
    </row>
    <row r="10" spans="1:3" x14ac:dyDescent="0.25">
      <c r="A10" t="s">
        <v>50</v>
      </c>
      <c r="B10" s="2">
        <v>3405365</v>
      </c>
      <c r="C10" s="2">
        <v>83097</v>
      </c>
    </row>
    <row r="11" spans="1:3" x14ac:dyDescent="0.25">
      <c r="A11" t="s">
        <v>51</v>
      </c>
      <c r="B11" s="2">
        <v>3524077</v>
      </c>
      <c r="C11" s="2">
        <v>78216</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79DA-108E-4B1B-9C77-DFE5CF1FE61C}">
  <dimension ref="A1:C7"/>
  <sheetViews>
    <sheetView topLeftCell="A2" workbookViewId="0">
      <selection sqref="A1:B7"/>
    </sheetView>
  </sheetViews>
  <sheetFormatPr defaultRowHeight="15" x14ac:dyDescent="0.25"/>
  <cols>
    <col min="1" max="1" width="18.7109375" customWidth="1"/>
    <col min="2" max="2" width="16.7109375" customWidth="1"/>
    <col min="3" max="3" width="28.7109375" customWidth="1"/>
  </cols>
  <sheetData>
    <row r="1" spans="1:3" x14ac:dyDescent="0.25">
      <c r="A1" s="5" t="s">
        <v>31</v>
      </c>
      <c r="B1" s="5" t="s">
        <v>32</v>
      </c>
      <c r="C1" s="5" t="s">
        <v>70</v>
      </c>
    </row>
    <row r="2" spans="1:3" x14ac:dyDescent="0.25">
      <c r="A2" t="s">
        <v>21</v>
      </c>
      <c r="B2" s="2">
        <v>1016750</v>
      </c>
      <c r="C2" s="8">
        <v>31.97</v>
      </c>
    </row>
    <row r="3" spans="1:3" x14ac:dyDescent="0.25">
      <c r="A3" s="6" t="s">
        <v>35</v>
      </c>
      <c r="B3" s="7">
        <v>847942</v>
      </c>
      <c r="C3" s="9">
        <v>26.66</v>
      </c>
    </row>
    <row r="4" spans="1:3" x14ac:dyDescent="0.25">
      <c r="A4" t="s">
        <v>36</v>
      </c>
      <c r="B4" s="2">
        <v>672415</v>
      </c>
      <c r="C4" s="8">
        <v>21.14</v>
      </c>
    </row>
    <row r="5" spans="1:3" x14ac:dyDescent="0.25">
      <c r="A5" s="6" t="s">
        <v>37</v>
      </c>
      <c r="B5" s="7">
        <v>520286</v>
      </c>
      <c r="C5" s="9">
        <v>16.36</v>
      </c>
    </row>
    <row r="6" spans="1:3" x14ac:dyDescent="0.25">
      <c r="A6" t="s">
        <v>38</v>
      </c>
      <c r="B6" s="2">
        <v>121784</v>
      </c>
      <c r="C6" s="8">
        <v>3.83</v>
      </c>
    </row>
    <row r="7" spans="1:3" x14ac:dyDescent="0.25">
      <c r="A7" s="6" t="s">
        <v>39</v>
      </c>
      <c r="B7" s="7">
        <v>1046</v>
      </c>
      <c r="C7" s="9">
        <v>0.03</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A402-CEE1-4F5C-99CD-A97718EA4609}">
  <dimension ref="A1:B11"/>
  <sheetViews>
    <sheetView workbookViewId="0"/>
  </sheetViews>
  <sheetFormatPr defaultRowHeight="15" x14ac:dyDescent="0.25"/>
  <cols>
    <col min="1" max="1" width="18.7109375" customWidth="1"/>
    <col min="2" max="2" width="24.7109375" customWidth="1"/>
  </cols>
  <sheetData>
    <row r="1" spans="1:2" x14ac:dyDescent="0.25">
      <c r="A1" s="5" t="s">
        <v>41</v>
      </c>
      <c r="B1" s="5" t="s">
        <v>71</v>
      </c>
    </row>
    <row r="2" spans="1:2" x14ac:dyDescent="0.25">
      <c r="A2" t="s">
        <v>27</v>
      </c>
      <c r="B2" s="8">
        <v>9.25</v>
      </c>
    </row>
    <row r="3" spans="1:2" x14ac:dyDescent="0.25">
      <c r="A3" s="6" t="s">
        <v>47</v>
      </c>
      <c r="B3" s="9">
        <v>3</v>
      </c>
    </row>
    <row r="4" spans="1:2" x14ac:dyDescent="0.25">
      <c r="A4" t="s">
        <v>46</v>
      </c>
      <c r="B4" s="8">
        <v>2.88</v>
      </c>
    </row>
    <row r="5" spans="1:2" x14ac:dyDescent="0.25">
      <c r="A5" s="6" t="s">
        <v>44</v>
      </c>
      <c r="B5" s="9">
        <v>2.75</v>
      </c>
    </row>
    <row r="6" spans="1:2" x14ac:dyDescent="0.25">
      <c r="A6" t="s">
        <v>50</v>
      </c>
      <c r="B6" s="8">
        <v>2.44</v>
      </c>
    </row>
    <row r="7" spans="1:2" x14ac:dyDescent="0.25">
      <c r="A7" s="6" t="s">
        <v>48</v>
      </c>
      <c r="B7" s="9">
        <v>2.2799999999999998</v>
      </c>
    </row>
    <row r="8" spans="1:2" x14ac:dyDescent="0.25">
      <c r="A8" t="s">
        <v>51</v>
      </c>
      <c r="B8" s="8">
        <v>2.2200000000000002</v>
      </c>
    </row>
    <row r="9" spans="1:2" x14ac:dyDescent="0.25">
      <c r="A9" s="6" t="s">
        <v>49</v>
      </c>
      <c r="B9" s="9">
        <v>1.84</v>
      </c>
    </row>
    <row r="10" spans="1:2" x14ac:dyDescent="0.25">
      <c r="A10" t="s">
        <v>24</v>
      </c>
      <c r="B10" s="8">
        <v>1.78</v>
      </c>
    </row>
    <row r="11" spans="1:2" x14ac:dyDescent="0.25">
      <c r="A11" s="6" t="s">
        <v>30</v>
      </c>
      <c r="B11" s="9">
        <v>1.1100000000000001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By Continent</vt:lpstr>
      <vt:lpstr>Top 10 Countries</vt:lpstr>
      <vt:lpstr>Monthly Trend</vt:lpstr>
      <vt:lpstr>Chart 1</vt:lpstr>
      <vt:lpstr>Chart 2</vt:lpstr>
      <vt:lpstr>Chart 3</vt:lpstr>
      <vt:lpstr>Continent Analysis</vt:lpstr>
      <vt:lpstr>Country Analysis</vt:lpstr>
      <vt:lpstr>Global Death Share</vt:lpstr>
      <vt:lpstr>Country CFR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Opeyemi Obisesan</dc:creator>
  <cp:lastModifiedBy>Opeyemi Obisesan</cp:lastModifiedBy>
  <dcterms:created xsi:type="dcterms:W3CDTF">2026-06-20T13:01:05Z</dcterms:created>
  <dcterms:modified xsi:type="dcterms:W3CDTF">2026-06-29T01:57:53Z</dcterms:modified>
</cp:coreProperties>
</file>